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BUSINESS\HỢP TÁC DỰ ÁN FIVICO\6. PHÒNG TRỌ, CHDV\[K8] 58 BÙI ĐIỀN, Q.8\"/>
    </mc:Choice>
  </mc:AlternateContent>
  <bookViews>
    <workbookView xWindow="0" yWindow="0" windowWidth="23040" windowHeight="9252"/>
  </bookViews>
  <sheets>
    <sheet name="N2025.T12" sheetId="1" r:id="rId1"/>
    <sheet name="N2025.T11" sheetId="2" r:id="rId2"/>
    <sheet name="N2025.T10" sheetId="3" r:id="rId3"/>
    <sheet name="N2025.T09" sheetId="4" r:id="rId4"/>
    <sheet name="T2" sheetId="5" state="hidden" r:id="rId5"/>
    <sheet name="T3" sheetId="6" state="hidden" r:id="rId6"/>
    <sheet name="T4" sheetId="7" state="hidden" r:id="rId7"/>
    <sheet name="T5" sheetId="8" state="hidden" r:id="rId8"/>
    <sheet name="T6" sheetId="9" state="hidden" r:id="rId9"/>
    <sheet name="T7" sheetId="10" state="hidden" r:id="rId10"/>
    <sheet name="T8" sheetId="11" state="hidden" r:id="rId11"/>
    <sheet name="T9" sheetId="12" state="hidden" r:id="rId12"/>
    <sheet name="T10" sheetId="13" state="hidden" r:id="rId13"/>
    <sheet name="T11" sheetId="14" state="hidden" r:id="rId14"/>
    <sheet name="T12" sheetId="15" state="hidden" r:id="rId15"/>
    <sheet name="T13" sheetId="16" state="hidden" r:id="rId16"/>
  </sheets>
  <calcPr calcId="152511"/>
</workbook>
</file>

<file path=xl/calcChain.xml><?xml version="1.0" encoding="utf-8"?>
<calcChain xmlns="http://schemas.openxmlformats.org/spreadsheetml/2006/main">
  <c r="C26" i="16" l="1"/>
  <c r="E26" i="16" s="1"/>
  <c r="E25" i="16"/>
  <c r="C25" i="16"/>
  <c r="C23" i="16"/>
  <c r="E23" i="16" s="1"/>
  <c r="R15" i="16"/>
  <c r="P15" i="16"/>
  <c r="O15" i="16"/>
  <c r="C27" i="16" s="1"/>
  <c r="E27" i="16" s="1"/>
  <c r="N15" i="16"/>
  <c r="G15" i="16"/>
  <c r="F15" i="16"/>
  <c r="C22" i="16" s="1"/>
  <c r="E15" i="16"/>
  <c r="Q13" i="16"/>
  <c r="S13" i="16" s="1"/>
  <c r="K13" i="16"/>
  <c r="K12" i="16"/>
  <c r="Q12" i="16" s="1"/>
  <c r="S12" i="16" s="1"/>
  <c r="S11" i="16"/>
  <c r="K11" i="16"/>
  <c r="Q11" i="16" s="1"/>
  <c r="Q10" i="16"/>
  <c r="S10" i="16" s="1"/>
  <c r="M10" i="16"/>
  <c r="K10" i="16"/>
  <c r="Q9" i="16"/>
  <c r="S9" i="16" s="1"/>
  <c r="M9" i="16"/>
  <c r="K9" i="16"/>
  <c r="Q8" i="16"/>
  <c r="S8" i="16" s="1"/>
  <c r="M8" i="16"/>
  <c r="K8" i="16"/>
  <c r="Q7" i="16"/>
  <c r="S7" i="16" s="1"/>
  <c r="M7" i="16"/>
  <c r="K7" i="16"/>
  <c r="Q6" i="16"/>
  <c r="S6" i="16" s="1"/>
  <c r="M6" i="16"/>
  <c r="K6" i="16"/>
  <c r="Q5" i="16"/>
  <c r="M5" i="16"/>
  <c r="M15" i="16" s="1"/>
  <c r="C24" i="16" s="1"/>
  <c r="E24" i="16" s="1"/>
  <c r="K5" i="16"/>
  <c r="K15" i="16" s="1"/>
  <c r="C27" i="15"/>
  <c r="E27" i="15" s="1"/>
  <c r="E26" i="15"/>
  <c r="C26" i="15"/>
  <c r="E22" i="15"/>
  <c r="C22" i="15"/>
  <c r="R15" i="15"/>
  <c r="P15" i="15"/>
  <c r="C25" i="15" s="1"/>
  <c r="E25" i="15" s="1"/>
  <c r="O15" i="15"/>
  <c r="N15" i="15"/>
  <c r="M15" i="15"/>
  <c r="C24" i="15" s="1"/>
  <c r="E24" i="15" s="1"/>
  <c r="K15" i="15"/>
  <c r="C23" i="15" s="1"/>
  <c r="G15" i="15"/>
  <c r="F15" i="15"/>
  <c r="E15" i="15"/>
  <c r="S13" i="15"/>
  <c r="K13" i="15"/>
  <c r="Q13" i="15" s="1"/>
  <c r="Q12" i="15"/>
  <c r="S12" i="15" s="1"/>
  <c r="K12" i="15"/>
  <c r="K11" i="15"/>
  <c r="Q11" i="15" s="1"/>
  <c r="S11" i="15" s="1"/>
  <c r="M10" i="15"/>
  <c r="K10" i="15"/>
  <c r="Q10" i="15" s="1"/>
  <c r="S10" i="15" s="1"/>
  <c r="M9" i="15"/>
  <c r="K9" i="15"/>
  <c r="Q9" i="15" s="1"/>
  <c r="S9" i="15" s="1"/>
  <c r="M8" i="15"/>
  <c r="K8" i="15"/>
  <c r="Q8" i="15" s="1"/>
  <c r="S8" i="15" s="1"/>
  <c r="M7" i="15"/>
  <c r="K7" i="15"/>
  <c r="Q7" i="15" s="1"/>
  <c r="S7" i="15" s="1"/>
  <c r="M6" i="15"/>
  <c r="K6" i="15"/>
  <c r="Q6" i="15" s="1"/>
  <c r="S6" i="15" s="1"/>
  <c r="M5" i="15"/>
  <c r="K5" i="15"/>
  <c r="Q5" i="15" s="1"/>
  <c r="S5" i="15" s="1"/>
  <c r="C27" i="14"/>
  <c r="E27" i="14" s="1"/>
  <c r="C26" i="14"/>
  <c r="E26" i="14" s="1"/>
  <c r="C25" i="14"/>
  <c r="E25" i="14" s="1"/>
  <c r="R15" i="14"/>
  <c r="P15" i="14"/>
  <c r="O15" i="14"/>
  <c r="N15" i="14"/>
  <c r="G15" i="14"/>
  <c r="F15" i="14"/>
  <c r="C22" i="14" s="1"/>
  <c r="E15" i="14"/>
  <c r="K13" i="14"/>
  <c r="Q13" i="14" s="1"/>
  <c r="S13" i="14" s="1"/>
  <c r="K12" i="14"/>
  <c r="Q12" i="14" s="1"/>
  <c r="S12" i="14" s="1"/>
  <c r="K11" i="14"/>
  <c r="Q11" i="14" s="1"/>
  <c r="S11" i="14" s="1"/>
  <c r="S10" i="14"/>
  <c r="Q10" i="14"/>
  <c r="M10" i="14"/>
  <c r="K10" i="14"/>
  <c r="S9" i="14"/>
  <c r="Q9" i="14"/>
  <c r="M9" i="14"/>
  <c r="K9" i="14"/>
  <c r="S8" i="14"/>
  <c r="Q8" i="14"/>
  <c r="M8" i="14"/>
  <c r="K8" i="14"/>
  <c r="S7" i="14"/>
  <c r="Q7" i="14"/>
  <c r="M7" i="14"/>
  <c r="K7" i="14"/>
  <c r="S6" i="14"/>
  <c r="Q6" i="14"/>
  <c r="M6" i="14"/>
  <c r="K6" i="14"/>
  <c r="S5" i="14"/>
  <c r="S15" i="14" s="1"/>
  <c r="Q5" i="14"/>
  <c r="M5" i="14"/>
  <c r="M15" i="14" s="1"/>
  <c r="C24" i="14" s="1"/>
  <c r="E24" i="14" s="1"/>
  <c r="K5" i="14"/>
  <c r="C26" i="13"/>
  <c r="E26" i="13" s="1"/>
  <c r="C22" i="13"/>
  <c r="E22" i="13" s="1"/>
  <c r="R15" i="13"/>
  <c r="P15" i="13"/>
  <c r="C25" i="13" s="1"/>
  <c r="E25" i="13" s="1"/>
  <c r="O15" i="13"/>
  <c r="C27" i="13" s="1"/>
  <c r="E27" i="13" s="1"/>
  <c r="N15" i="13"/>
  <c r="G15" i="13"/>
  <c r="F15" i="13"/>
  <c r="E15" i="13"/>
  <c r="K13" i="13"/>
  <c r="Q13" i="13" s="1"/>
  <c r="S13" i="13" s="1"/>
  <c r="S12" i="13"/>
  <c r="Q12" i="13"/>
  <c r="K12" i="13"/>
  <c r="K11" i="13"/>
  <c r="Q11" i="13" s="1"/>
  <c r="S11" i="13" s="1"/>
  <c r="M10" i="13"/>
  <c r="K10" i="13"/>
  <c r="M9" i="13"/>
  <c r="K9" i="13"/>
  <c r="Q9" i="13" s="1"/>
  <c r="S9" i="13" s="1"/>
  <c r="M8" i="13"/>
  <c r="K8" i="13"/>
  <c r="M7" i="13"/>
  <c r="K7" i="13"/>
  <c r="Q7" i="13" s="1"/>
  <c r="S7" i="13" s="1"/>
  <c r="M6" i="13"/>
  <c r="M15" i="13" s="1"/>
  <c r="C24" i="13" s="1"/>
  <c r="E24" i="13" s="1"/>
  <c r="K6" i="13"/>
  <c r="M5" i="13"/>
  <c r="K5" i="13"/>
  <c r="E27" i="12"/>
  <c r="C26" i="12"/>
  <c r="E26" i="12" s="1"/>
  <c r="C25" i="12"/>
  <c r="E25" i="12" s="1"/>
  <c r="R15" i="12"/>
  <c r="P15" i="12"/>
  <c r="O15" i="12"/>
  <c r="C27" i="12" s="1"/>
  <c r="N15" i="12"/>
  <c r="G15" i="12"/>
  <c r="F15" i="12"/>
  <c r="C22" i="12" s="1"/>
  <c r="E15" i="12"/>
  <c r="Q13" i="12"/>
  <c r="S13" i="12" s="1"/>
  <c r="K13" i="12"/>
  <c r="K12" i="12"/>
  <c r="Q12" i="12" s="1"/>
  <c r="S12" i="12" s="1"/>
  <c r="K11" i="12"/>
  <c r="Q11" i="12" s="1"/>
  <c r="S11" i="12" s="1"/>
  <c r="S10" i="12"/>
  <c r="Q10" i="12"/>
  <c r="M10" i="12"/>
  <c r="K10" i="12"/>
  <c r="S9" i="12"/>
  <c r="Q9" i="12"/>
  <c r="M9" i="12"/>
  <c r="K9" i="12"/>
  <c r="S8" i="12"/>
  <c r="Q8" i="12"/>
  <c r="M8" i="12"/>
  <c r="K8" i="12"/>
  <c r="S7" i="12"/>
  <c r="Q7" i="12"/>
  <c r="M7" i="12"/>
  <c r="K7" i="12"/>
  <c r="S6" i="12"/>
  <c r="Q6" i="12"/>
  <c r="M6" i="12"/>
  <c r="K6" i="12"/>
  <c r="S5" i="12"/>
  <c r="S15" i="12" s="1"/>
  <c r="Q5" i="12"/>
  <c r="M5" i="12"/>
  <c r="M15" i="12" s="1"/>
  <c r="C24" i="12" s="1"/>
  <c r="E24" i="12" s="1"/>
  <c r="K5" i="12"/>
  <c r="K15" i="12" s="1"/>
  <c r="C23" i="12" s="1"/>
  <c r="E23" i="12" s="1"/>
  <c r="C26" i="11"/>
  <c r="E26" i="11" s="1"/>
  <c r="C22" i="11"/>
  <c r="R15" i="11"/>
  <c r="P15" i="11"/>
  <c r="C25" i="11" s="1"/>
  <c r="E25" i="11" s="1"/>
  <c r="O15" i="11"/>
  <c r="C27" i="11" s="1"/>
  <c r="E27" i="11" s="1"/>
  <c r="N15" i="11"/>
  <c r="G15" i="11"/>
  <c r="F15" i="11"/>
  <c r="E15" i="11"/>
  <c r="K13" i="11"/>
  <c r="Q13" i="11" s="1"/>
  <c r="S13" i="11" s="1"/>
  <c r="S12" i="11"/>
  <c r="Q12" i="11"/>
  <c r="K12" i="11"/>
  <c r="K11" i="11"/>
  <c r="Q11" i="11" s="1"/>
  <c r="S11" i="11" s="1"/>
  <c r="M10" i="11"/>
  <c r="K10" i="11"/>
  <c r="M9" i="11"/>
  <c r="K9" i="11"/>
  <c r="Q9" i="11" s="1"/>
  <c r="S9" i="11" s="1"/>
  <c r="M8" i="11"/>
  <c r="K8" i="11"/>
  <c r="M7" i="11"/>
  <c r="K7" i="11"/>
  <c r="Q7" i="11" s="1"/>
  <c r="S7" i="11" s="1"/>
  <c r="M6" i="11"/>
  <c r="K6" i="11"/>
  <c r="M5" i="11"/>
  <c r="M15" i="11" s="1"/>
  <c r="C24" i="11" s="1"/>
  <c r="E24" i="11" s="1"/>
  <c r="K5" i="11"/>
  <c r="C26" i="10"/>
  <c r="E26" i="10" s="1"/>
  <c r="E25" i="10"/>
  <c r="C25" i="10"/>
  <c r="C23" i="10"/>
  <c r="E23" i="10" s="1"/>
  <c r="R15" i="10"/>
  <c r="P15" i="10"/>
  <c r="O15" i="10"/>
  <c r="C27" i="10" s="1"/>
  <c r="E27" i="10" s="1"/>
  <c r="N15" i="10"/>
  <c r="G15" i="10"/>
  <c r="F15" i="10"/>
  <c r="C22" i="10" s="1"/>
  <c r="E15" i="10"/>
  <c r="Q13" i="10"/>
  <c r="S13" i="10" s="1"/>
  <c r="K13" i="10"/>
  <c r="K12" i="10"/>
  <c r="Q12" i="10" s="1"/>
  <c r="S12" i="10" s="1"/>
  <c r="S11" i="10"/>
  <c r="S15" i="10" s="1"/>
  <c r="K11" i="10"/>
  <c r="Q11" i="10" s="1"/>
  <c r="S10" i="10"/>
  <c r="Q10" i="10"/>
  <c r="M10" i="10"/>
  <c r="K10" i="10"/>
  <c r="S9" i="10"/>
  <c r="Q9" i="10"/>
  <c r="M9" i="10"/>
  <c r="K9" i="10"/>
  <c r="S8" i="10"/>
  <c r="Q8" i="10"/>
  <c r="M8" i="10"/>
  <c r="K8" i="10"/>
  <c r="S7" i="10"/>
  <c r="Q7" i="10"/>
  <c r="M7" i="10"/>
  <c r="K7" i="10"/>
  <c r="S6" i="10"/>
  <c r="Q6" i="10"/>
  <c r="M6" i="10"/>
  <c r="K6" i="10"/>
  <c r="S5" i="10"/>
  <c r="Q5" i="10"/>
  <c r="M5" i="10"/>
  <c r="M15" i="10" s="1"/>
  <c r="C24" i="10" s="1"/>
  <c r="E24" i="10" s="1"/>
  <c r="K5" i="10"/>
  <c r="K15" i="10" s="1"/>
  <c r="C26" i="9"/>
  <c r="E26" i="9" s="1"/>
  <c r="E22" i="9"/>
  <c r="C22" i="9"/>
  <c r="R15" i="9"/>
  <c r="P15" i="9"/>
  <c r="C25" i="9" s="1"/>
  <c r="E25" i="9" s="1"/>
  <c r="O15" i="9"/>
  <c r="C27" i="9" s="1"/>
  <c r="E27" i="9" s="1"/>
  <c r="N15" i="9"/>
  <c r="G15" i="9"/>
  <c r="F15" i="9"/>
  <c r="E15" i="9"/>
  <c r="K13" i="9"/>
  <c r="Q13" i="9" s="1"/>
  <c r="S13" i="9" s="1"/>
  <c r="S12" i="9"/>
  <c r="Q12" i="9"/>
  <c r="K12" i="9"/>
  <c r="Q11" i="9"/>
  <c r="S11" i="9" s="1"/>
  <c r="K11" i="9"/>
  <c r="M10" i="9"/>
  <c r="K10" i="9"/>
  <c r="Q10" i="9" s="1"/>
  <c r="S10" i="9" s="1"/>
  <c r="M9" i="9"/>
  <c r="K9" i="9"/>
  <c r="M8" i="9"/>
  <c r="K8" i="9"/>
  <c r="Q8" i="9" s="1"/>
  <c r="S8" i="9" s="1"/>
  <c r="M7" i="9"/>
  <c r="K7" i="9"/>
  <c r="M6" i="9"/>
  <c r="K6" i="9"/>
  <c r="Q6" i="9" s="1"/>
  <c r="S6" i="9" s="1"/>
  <c r="M5" i="9"/>
  <c r="M15" i="9" s="1"/>
  <c r="C24" i="9" s="1"/>
  <c r="E24" i="9" s="1"/>
  <c r="K5" i="9"/>
  <c r="C26" i="8"/>
  <c r="E26" i="8" s="1"/>
  <c r="E25" i="8"/>
  <c r="C25" i="8"/>
  <c r="R15" i="8"/>
  <c r="P15" i="8"/>
  <c r="O15" i="8"/>
  <c r="C27" i="8" s="1"/>
  <c r="E27" i="8" s="1"/>
  <c r="N15" i="8"/>
  <c r="G15" i="8"/>
  <c r="F15" i="8"/>
  <c r="C22" i="8" s="1"/>
  <c r="E15" i="8"/>
  <c r="Q13" i="8"/>
  <c r="S13" i="8" s="1"/>
  <c r="K13" i="8"/>
  <c r="K12" i="8"/>
  <c r="Q12" i="8" s="1"/>
  <c r="S12" i="8" s="1"/>
  <c r="S11" i="8"/>
  <c r="K11" i="8"/>
  <c r="Q11" i="8" s="1"/>
  <c r="Q10" i="8"/>
  <c r="S10" i="8" s="1"/>
  <c r="M10" i="8"/>
  <c r="K10" i="8"/>
  <c r="Q9" i="8"/>
  <c r="S9" i="8" s="1"/>
  <c r="M9" i="8"/>
  <c r="K9" i="8"/>
  <c r="Q8" i="8"/>
  <c r="S8" i="8" s="1"/>
  <c r="M8" i="8"/>
  <c r="K8" i="8"/>
  <c r="Q7" i="8"/>
  <c r="S7" i="8" s="1"/>
  <c r="M7" i="8"/>
  <c r="K7" i="8"/>
  <c r="Q6" i="8"/>
  <c r="S6" i="8" s="1"/>
  <c r="M6" i="8"/>
  <c r="K6" i="8"/>
  <c r="Q5" i="8"/>
  <c r="M5" i="8"/>
  <c r="M15" i="8" s="1"/>
  <c r="C24" i="8" s="1"/>
  <c r="E24" i="8" s="1"/>
  <c r="K5" i="8"/>
  <c r="E26" i="7"/>
  <c r="C26" i="7"/>
  <c r="C25" i="7"/>
  <c r="E25" i="7" s="1"/>
  <c r="R15" i="7"/>
  <c r="P15" i="7"/>
  <c r="O15" i="7"/>
  <c r="C27" i="7" s="1"/>
  <c r="E27" i="7" s="1"/>
  <c r="N15" i="7"/>
  <c r="G15" i="7"/>
  <c r="F15" i="7"/>
  <c r="C22" i="7" s="1"/>
  <c r="E15" i="7"/>
  <c r="K13" i="7"/>
  <c r="Q13" i="7" s="1"/>
  <c r="S13" i="7" s="1"/>
  <c r="S12" i="7"/>
  <c r="Q12" i="7"/>
  <c r="K12" i="7"/>
  <c r="S11" i="7"/>
  <c r="Q11" i="7"/>
  <c r="K11" i="7"/>
  <c r="Q10" i="7"/>
  <c r="S10" i="7" s="1"/>
  <c r="M10" i="7"/>
  <c r="K10" i="7"/>
  <c r="M9" i="7"/>
  <c r="Q9" i="7" s="1"/>
  <c r="S9" i="7" s="1"/>
  <c r="K9" i="7"/>
  <c r="M8" i="7"/>
  <c r="Q8" i="7" s="1"/>
  <c r="S8" i="7" s="1"/>
  <c r="K8" i="7"/>
  <c r="Q7" i="7"/>
  <c r="S7" i="7" s="1"/>
  <c r="M7" i="7"/>
  <c r="K7" i="7"/>
  <c r="Q6" i="7"/>
  <c r="S6" i="7" s="1"/>
  <c r="M6" i="7"/>
  <c r="K6" i="7"/>
  <c r="M5" i="7"/>
  <c r="M15" i="7" s="1"/>
  <c r="C24" i="7" s="1"/>
  <c r="E24" i="7" s="1"/>
  <c r="K5" i="7"/>
  <c r="K15" i="7" s="1"/>
  <c r="C23" i="7" s="1"/>
  <c r="E23" i="7" s="1"/>
  <c r="C26" i="6"/>
  <c r="E26" i="6" s="1"/>
  <c r="C22" i="6"/>
  <c r="E22" i="6" s="1"/>
  <c r="R15" i="6"/>
  <c r="P15" i="6"/>
  <c r="C25" i="6" s="1"/>
  <c r="E25" i="6" s="1"/>
  <c r="O15" i="6"/>
  <c r="C27" i="6" s="1"/>
  <c r="E27" i="6" s="1"/>
  <c r="N15" i="6"/>
  <c r="G15" i="6"/>
  <c r="F15" i="6"/>
  <c r="E15" i="6"/>
  <c r="Q13" i="6"/>
  <c r="S13" i="6" s="1"/>
  <c r="K13" i="6"/>
  <c r="Q12" i="6"/>
  <c r="S12" i="6" s="1"/>
  <c r="K12" i="6"/>
  <c r="K11" i="6"/>
  <c r="Q11" i="6" s="1"/>
  <c r="S11" i="6" s="1"/>
  <c r="S10" i="6"/>
  <c r="M10" i="6"/>
  <c r="K10" i="6"/>
  <c r="Q10" i="6" s="1"/>
  <c r="S9" i="6"/>
  <c r="M9" i="6"/>
  <c r="K9" i="6"/>
  <c r="Q9" i="6" s="1"/>
  <c r="M8" i="6"/>
  <c r="K8" i="6"/>
  <c r="Q8" i="6" s="1"/>
  <c r="S8" i="6" s="1"/>
  <c r="M7" i="6"/>
  <c r="K7" i="6"/>
  <c r="Q7" i="6" s="1"/>
  <c r="S7" i="6" s="1"/>
  <c r="S6" i="6"/>
  <c r="M6" i="6"/>
  <c r="K6" i="6"/>
  <c r="Q6" i="6" s="1"/>
  <c r="S5" i="6"/>
  <c r="M5" i="6"/>
  <c r="M15" i="6" s="1"/>
  <c r="C24" i="6" s="1"/>
  <c r="E24" i="6" s="1"/>
  <c r="K5" i="6"/>
  <c r="Q5" i="6" s="1"/>
  <c r="C27" i="5"/>
  <c r="E27" i="5" s="1"/>
  <c r="E26" i="5"/>
  <c r="C26" i="5"/>
  <c r="C25" i="5"/>
  <c r="E25" i="5" s="1"/>
  <c r="C23" i="5"/>
  <c r="E23" i="5" s="1"/>
  <c r="R15" i="5"/>
  <c r="P15" i="5"/>
  <c r="O15" i="5"/>
  <c r="N15" i="5"/>
  <c r="G15" i="5"/>
  <c r="F15" i="5"/>
  <c r="C22" i="5" s="1"/>
  <c r="E15" i="5"/>
  <c r="K13" i="5"/>
  <c r="Q13" i="5" s="1"/>
  <c r="S13" i="5" s="1"/>
  <c r="S12" i="5"/>
  <c r="Q12" i="5"/>
  <c r="K12" i="5"/>
  <c r="Q11" i="5"/>
  <c r="S11" i="5" s="1"/>
  <c r="K11" i="5"/>
  <c r="M10" i="5"/>
  <c r="Q10" i="5" s="1"/>
  <c r="S10" i="5" s="1"/>
  <c r="K10" i="5"/>
  <c r="Q9" i="5"/>
  <c r="S9" i="5" s="1"/>
  <c r="M9" i="5"/>
  <c r="K9" i="5"/>
  <c r="Q8" i="5"/>
  <c r="S8" i="5" s="1"/>
  <c r="M8" i="5"/>
  <c r="K8" i="5"/>
  <c r="M7" i="5"/>
  <c r="Q7" i="5" s="1"/>
  <c r="S7" i="5" s="1"/>
  <c r="K7" i="5"/>
  <c r="M6" i="5"/>
  <c r="M15" i="5" s="1"/>
  <c r="C24" i="5" s="1"/>
  <c r="E24" i="5" s="1"/>
  <c r="K6" i="5"/>
  <c r="Q5" i="5"/>
  <c r="S5" i="5" s="1"/>
  <c r="M5" i="5"/>
  <c r="K5" i="5"/>
  <c r="K15" i="5" s="1"/>
  <c r="D26" i="4"/>
  <c r="E25" i="4"/>
  <c r="C24" i="4"/>
  <c r="E24" i="4" s="1"/>
  <c r="E23" i="4"/>
  <c r="C22" i="4"/>
  <c r="E22" i="4" s="1"/>
  <c r="R12" i="4"/>
  <c r="P12" i="4"/>
  <c r="O12" i="4"/>
  <c r="C21" i="4" s="1"/>
  <c r="E21" i="4" s="1"/>
  <c r="N12" i="4"/>
  <c r="C20" i="4" s="1"/>
  <c r="E20" i="4" s="1"/>
  <c r="G12" i="4"/>
  <c r="E12" i="4"/>
  <c r="M10" i="4"/>
  <c r="K10" i="4"/>
  <c r="F10" i="4"/>
  <c r="Q10" i="4" s="1"/>
  <c r="S10" i="4" s="1"/>
  <c r="T10" i="4" s="1"/>
  <c r="M9" i="4"/>
  <c r="K9" i="4"/>
  <c r="Q9" i="4" s="1"/>
  <c r="S9" i="4" s="1"/>
  <c r="T9" i="4" s="1"/>
  <c r="Q8" i="4"/>
  <c r="S8" i="4" s="1"/>
  <c r="T8" i="4" s="1"/>
  <c r="M8" i="4"/>
  <c r="K8" i="4"/>
  <c r="Q7" i="4"/>
  <c r="S7" i="4" s="1"/>
  <c r="T7" i="4" s="1"/>
  <c r="M7" i="4"/>
  <c r="K7" i="4"/>
  <c r="S6" i="4"/>
  <c r="T6" i="4" s="1"/>
  <c r="M6" i="4"/>
  <c r="K6" i="4"/>
  <c r="Q6" i="4" s="1"/>
  <c r="M5" i="4"/>
  <c r="M12" i="4" s="1"/>
  <c r="C19" i="4" s="1"/>
  <c r="E19" i="4" s="1"/>
  <c r="K5" i="4"/>
  <c r="D26" i="3"/>
  <c r="E25" i="3"/>
  <c r="E23" i="3"/>
  <c r="E22" i="3"/>
  <c r="E21" i="3"/>
  <c r="C21" i="3"/>
  <c r="C17" i="3"/>
  <c r="A15" i="3"/>
  <c r="R12" i="3"/>
  <c r="P12" i="3"/>
  <c r="C24" i="3" s="1"/>
  <c r="E24" i="3" s="1"/>
  <c r="O12" i="3"/>
  <c r="N12" i="3"/>
  <c r="C20" i="3" s="1"/>
  <c r="E20" i="3" s="1"/>
  <c r="G12" i="3"/>
  <c r="F12" i="3"/>
  <c r="E12" i="3"/>
  <c r="M10" i="3"/>
  <c r="K10" i="3"/>
  <c r="M9" i="3"/>
  <c r="K9" i="3"/>
  <c r="Q9" i="3" s="1"/>
  <c r="S9" i="3" s="1"/>
  <c r="M8" i="3"/>
  <c r="K8" i="3"/>
  <c r="Q8" i="3" s="1"/>
  <c r="S8" i="3" s="1"/>
  <c r="M7" i="3"/>
  <c r="K7" i="3"/>
  <c r="Q6" i="3"/>
  <c r="S6" i="3" s="1"/>
  <c r="M6" i="3"/>
  <c r="K6" i="3"/>
  <c r="Q5" i="3"/>
  <c r="M5" i="3"/>
  <c r="M12" i="3" s="1"/>
  <c r="C19" i="3" s="1"/>
  <c r="E19" i="3" s="1"/>
  <c r="K5" i="3"/>
  <c r="D26" i="2"/>
  <c r="E25" i="2"/>
  <c r="E23" i="2"/>
  <c r="E22" i="2"/>
  <c r="C22" i="2"/>
  <c r="C21" i="2"/>
  <c r="E21" i="2" s="1"/>
  <c r="E20" i="2"/>
  <c r="C20" i="2"/>
  <c r="C17" i="2"/>
  <c r="E17" i="2" s="1"/>
  <c r="A15" i="2"/>
  <c r="R12" i="2"/>
  <c r="P12" i="2"/>
  <c r="C24" i="2" s="1"/>
  <c r="E24" i="2" s="1"/>
  <c r="O12" i="2"/>
  <c r="N12" i="2"/>
  <c r="G12" i="2"/>
  <c r="F12" i="2"/>
  <c r="E12" i="2"/>
  <c r="M11" i="2"/>
  <c r="M10" i="2"/>
  <c r="Q10" i="2" s="1"/>
  <c r="S10" i="2" s="1"/>
  <c r="T10" i="2" s="1"/>
  <c r="K10" i="2"/>
  <c r="Q9" i="2"/>
  <c r="S9" i="2" s="1"/>
  <c r="T9" i="2" s="1"/>
  <c r="M9" i="2"/>
  <c r="K9" i="2"/>
  <c r="M8" i="2"/>
  <c r="K8" i="2"/>
  <c r="Q8" i="2" s="1"/>
  <c r="S8" i="2" s="1"/>
  <c r="T8" i="2" s="1"/>
  <c r="M7" i="2"/>
  <c r="K7" i="2"/>
  <c r="Q7" i="2" s="1"/>
  <c r="S7" i="2" s="1"/>
  <c r="T7" i="2" s="1"/>
  <c r="M6" i="2"/>
  <c r="Q6" i="2" s="1"/>
  <c r="K6" i="2"/>
  <c r="T5" i="2"/>
  <c r="M5" i="2"/>
  <c r="M12" i="2" s="1"/>
  <c r="C19" i="2" s="1"/>
  <c r="E19" i="2" s="1"/>
  <c r="K5" i="2"/>
  <c r="K12" i="2" s="1"/>
  <c r="C18" i="2" s="1"/>
  <c r="E18" i="2" s="1"/>
  <c r="E31" i="1"/>
  <c r="D26" i="1"/>
  <c r="E25" i="1"/>
  <c r="E23" i="1"/>
  <c r="C22" i="1"/>
  <c r="E22" i="1" s="1"/>
  <c r="C20" i="1"/>
  <c r="E20" i="1" s="1"/>
  <c r="A15" i="1"/>
  <c r="R12" i="1"/>
  <c r="Q12" i="1"/>
  <c r="P12" i="1"/>
  <c r="C24" i="1" s="1"/>
  <c r="E24" i="1" s="1"/>
  <c r="O12" i="1"/>
  <c r="C21" i="1" s="1"/>
  <c r="E21" i="1" s="1"/>
  <c r="N12" i="1"/>
  <c r="G12" i="1"/>
  <c r="F12" i="1"/>
  <c r="C17" i="1" s="1"/>
  <c r="E12" i="1"/>
  <c r="M11" i="1"/>
  <c r="S10" i="1"/>
  <c r="S9" i="1"/>
  <c r="S8" i="1"/>
  <c r="S7" i="1"/>
  <c r="S6" i="1"/>
  <c r="S12" i="1" s="1"/>
  <c r="T5" i="1"/>
  <c r="M5" i="1"/>
  <c r="M12" i="1" s="1"/>
  <c r="C19" i="1" s="1"/>
  <c r="E19" i="1" s="1"/>
  <c r="K5" i="1"/>
  <c r="K12" i="1" s="1"/>
  <c r="C18" i="1" s="1"/>
  <c r="E18" i="1" s="1"/>
  <c r="Q12" i="2" l="1"/>
  <c r="S6" i="2"/>
  <c r="E17" i="1"/>
  <c r="E26" i="1" s="1"/>
  <c r="C26" i="1"/>
  <c r="C28" i="7"/>
  <c r="E26" i="2"/>
  <c r="S15" i="6"/>
  <c r="E22" i="8"/>
  <c r="E29" i="9"/>
  <c r="C26" i="2"/>
  <c r="S5" i="3"/>
  <c r="K12" i="3"/>
  <c r="C18" i="3" s="1"/>
  <c r="E18" i="3" s="1"/>
  <c r="C26" i="3"/>
  <c r="Q5" i="7"/>
  <c r="E22" i="7"/>
  <c r="E29" i="7" s="1"/>
  <c r="E22" i="14"/>
  <c r="Q15" i="15"/>
  <c r="Q7" i="3"/>
  <c r="S7" i="3" s="1"/>
  <c r="E17" i="3"/>
  <c r="E26" i="3" s="1"/>
  <c r="F12" i="4"/>
  <c r="C17" i="4" s="1"/>
  <c r="Q6" i="5"/>
  <c r="K15" i="6"/>
  <c r="C23" i="6" s="1"/>
  <c r="E23" i="6" s="1"/>
  <c r="C28" i="6"/>
  <c r="Q15" i="8"/>
  <c r="S5" i="8"/>
  <c r="S15" i="8" s="1"/>
  <c r="K15" i="9"/>
  <c r="C23" i="9" s="1"/>
  <c r="E23" i="9" s="1"/>
  <c r="E29" i="6"/>
  <c r="Q5" i="11"/>
  <c r="K15" i="11"/>
  <c r="C23" i="11" s="1"/>
  <c r="E23" i="11" s="1"/>
  <c r="E23" i="15"/>
  <c r="C28" i="15"/>
  <c r="E29" i="15"/>
  <c r="E22" i="11"/>
  <c r="Q5" i="13"/>
  <c r="K15" i="13"/>
  <c r="C23" i="13" s="1"/>
  <c r="Q10" i="3"/>
  <c r="S10" i="3" s="1"/>
  <c r="K12" i="4"/>
  <c r="C18" i="4" s="1"/>
  <c r="E18" i="4" s="1"/>
  <c r="Q5" i="4"/>
  <c r="C28" i="5"/>
  <c r="E22" i="5"/>
  <c r="E29" i="5" s="1"/>
  <c r="Q15" i="6"/>
  <c r="C28" i="9"/>
  <c r="Q15" i="14"/>
  <c r="Q15" i="10"/>
  <c r="E22" i="10"/>
  <c r="E29" i="10" s="1"/>
  <c r="C28" i="10"/>
  <c r="Q6" i="11"/>
  <c r="S6" i="11" s="1"/>
  <c r="Q8" i="11"/>
  <c r="S8" i="11" s="1"/>
  <c r="Q10" i="11"/>
  <c r="S10" i="11" s="1"/>
  <c r="K15" i="14"/>
  <c r="C23" i="14" s="1"/>
  <c r="E23" i="14" s="1"/>
  <c r="S15" i="15"/>
  <c r="Q15" i="16"/>
  <c r="E22" i="16"/>
  <c r="E29" i="16" s="1"/>
  <c r="C28" i="16"/>
  <c r="K15" i="8"/>
  <c r="C23" i="8" s="1"/>
  <c r="E23" i="8" s="1"/>
  <c r="Q5" i="9"/>
  <c r="Q7" i="9"/>
  <c r="S7" i="9" s="1"/>
  <c r="Q9" i="9"/>
  <c r="S9" i="9" s="1"/>
  <c r="Q15" i="12"/>
  <c r="E22" i="12"/>
  <c r="E29" i="12" s="1"/>
  <c r="C28" i="12"/>
  <c r="Q6" i="13"/>
  <c r="S6" i="13" s="1"/>
  <c r="Q8" i="13"/>
  <c r="S8" i="13" s="1"/>
  <c r="Q10" i="13"/>
  <c r="S10" i="13" s="1"/>
  <c r="S5" i="16"/>
  <c r="S15" i="16" s="1"/>
  <c r="S5" i="7" l="1"/>
  <c r="S15" i="7" s="1"/>
  <c r="Q15" i="7"/>
  <c r="E23" i="13"/>
  <c r="E29" i="13" s="1"/>
  <c r="C28" i="13"/>
  <c r="S5" i="11"/>
  <c r="S15" i="11" s="1"/>
  <c r="Q15" i="11"/>
  <c r="C26" i="4"/>
  <c r="E17" i="4"/>
  <c r="E26" i="4" s="1"/>
  <c r="E29" i="4" s="1"/>
  <c r="C28" i="14"/>
  <c r="E29" i="2"/>
  <c r="F26" i="2"/>
  <c r="E29" i="1"/>
  <c r="F26" i="1"/>
  <c r="C28" i="11"/>
  <c r="S6" i="5"/>
  <c r="S15" i="5" s="1"/>
  <c r="Q15" i="5"/>
  <c r="Q12" i="4"/>
  <c r="S5" i="4"/>
  <c r="S5" i="13"/>
  <c r="S15" i="13" s="1"/>
  <c r="Q15" i="13"/>
  <c r="E29" i="3"/>
  <c r="F26" i="3"/>
  <c r="E29" i="14"/>
  <c r="C28" i="8"/>
  <c r="Q12" i="3"/>
  <c r="S12" i="2"/>
  <c r="T6" i="2"/>
  <c r="S5" i="9"/>
  <c r="S15" i="9" s="1"/>
  <c r="Q15" i="9"/>
  <c r="E29" i="11"/>
  <c r="S12" i="3"/>
  <c r="E29" i="8"/>
  <c r="T5" i="4" l="1"/>
  <c r="T12" i="4" s="1"/>
  <c r="S12" i="4"/>
</calcChain>
</file>

<file path=xl/sharedStrings.xml><?xml version="1.0" encoding="utf-8"?>
<sst xmlns="http://schemas.openxmlformats.org/spreadsheetml/2006/main" count="1017" uniqueCount="139">
  <si>
    <t>K8: 58 BÙI ĐIỀN, QUẬN 8</t>
  </si>
  <si>
    <t xml:space="preserve">PHÒNG </t>
  </si>
  <si>
    <t>TÊN</t>
  </si>
  <si>
    <t>SỐ ĐIỆN THOẠI</t>
  </si>
  <si>
    <t>THỜI HẠN
HỢP ĐỒNG</t>
  </si>
  <si>
    <t>TIỀN CỌC</t>
  </si>
  <si>
    <t>GIÁ THUÊ PHÒNG</t>
  </si>
  <si>
    <t>SỐ NGƯỜI Ở</t>
  </si>
  <si>
    <t xml:space="preserve">ĐIỆN </t>
  </si>
  <si>
    <t>NƯỚC</t>
  </si>
  <si>
    <t>WIFI</t>
  </si>
  <si>
    <t>GIỮ XE</t>
  </si>
  <si>
    <t>DỊCH VỤ</t>
  </si>
  <si>
    <t>TỔNG THU</t>
  </si>
  <si>
    <t>HỖ TRỢ</t>
  </si>
  <si>
    <t>THỰC THU</t>
  </si>
  <si>
    <t>THỰC THU
(ĐIỀU CHỈNH)</t>
  </si>
  <si>
    <t>GHI CHÚ</t>
  </si>
  <si>
    <t>SỐ CŨ</t>
  </si>
  <si>
    <t>SỐ MỚI</t>
  </si>
  <si>
    <t>ĐƠN GIÁ/1kWh</t>
  </si>
  <si>
    <t>THÀNH TIỀN</t>
  </si>
  <si>
    <t>ĐƠN GIÁ/1N</t>
  </si>
  <si>
    <t>MB</t>
  </si>
  <si>
    <t>T01</t>
  </si>
  <si>
    <t>Nguyễn Thái Học</t>
  </si>
  <si>
    <t>1/3/2025-1/3/2026</t>
  </si>
  <si>
    <t>Đã nhận ck 30/11</t>
  </si>
  <si>
    <t>Nguyễn Thị Ngọc Ánh</t>
  </si>
  <si>
    <t>1/5/2025 - 1/5/2026</t>
  </si>
  <si>
    <t>Đã nhận ck 02/12</t>
  </si>
  <si>
    <t>Nguyễn Thị Kiều</t>
  </si>
  <si>
    <t>1/9/2024 - 1/9/2025</t>
  </si>
  <si>
    <t>Đã nhận ck 03/12</t>
  </si>
  <si>
    <t>Nguyễn Ngọc Thanh Phương</t>
  </si>
  <si>
    <t>1/6/2025 - 1/6/2026</t>
  </si>
  <si>
    <t>Bạch Lê Bảo Anh</t>
  </si>
  <si>
    <t>1/9/2025 - 1/9/2026</t>
  </si>
  <si>
    <t>TỔNG</t>
  </si>
  <si>
    <t>BÁO CÁO TÀI CHÍNH TRONG THÁNG</t>
  </si>
  <si>
    <t>CHI PHÍ MẶC ĐỊNH</t>
  </si>
  <si>
    <t>PHÂN LOẠI</t>
  </si>
  <si>
    <t>DOANH THU</t>
  </si>
  <si>
    <t>CHI PHÍ</t>
  </si>
  <si>
    <t>LỢI NHUẬN</t>
  </si>
  <si>
    <r>
      <rPr>
        <sz val="11"/>
        <color theme="1"/>
        <rFont val="Times New Roman"/>
      </rPr>
      <t xml:space="preserve">Thuê nhà
</t>
    </r>
    <r>
      <rPr>
        <sz val="11"/>
        <color theme="1"/>
        <rFont val="Times New Roman"/>
      </rPr>
      <t>(Nguyễn Minh Trí
0071000878910 Vietcombank)</t>
    </r>
  </si>
  <si>
    <t>Đã tt 05/12</t>
  </si>
  <si>
    <t>Điện HCMC
(Nguyễn Thị Khoẻ
PE03000044558)</t>
  </si>
  <si>
    <t>Đã tt 8/12</t>
  </si>
  <si>
    <t>Nước Chợ Lớn
(Nguyễn Thị Khoẻ 08067940256)</t>
  </si>
  <si>
    <t>Đã tt 11/12</t>
  </si>
  <si>
    <t>Internet Viettel
(t008_gftth_huynq1049)</t>
  </si>
  <si>
    <t>Bãi xe</t>
  </si>
  <si>
    <t>Thu khác/ Điều chỉnh</t>
  </si>
  <si>
    <t>Chi phí quản lý</t>
  </si>
  <si>
    <t>Dịch vụ vệ sinh (lương vệ sinh)</t>
  </si>
  <si>
    <t>Công an</t>
  </si>
  <si>
    <t>Tổng</t>
  </si>
  <si>
    <t>VỐN SANG NHƯỢNG BAN ĐẦU</t>
  </si>
  <si>
    <t>Hiệp chuyển a Là</t>
  </si>
  <si>
    <t>Đã nhận ck 31/10</t>
  </si>
  <si>
    <t>Đã nhận ck 03/11</t>
  </si>
  <si>
    <t>Đã nhận ck 01/11</t>
  </si>
  <si>
    <t>Anh Là thu TM</t>
  </si>
  <si>
    <r>
      <rPr>
        <sz val="11"/>
        <color theme="1"/>
        <rFont val="Times New Roman"/>
      </rPr>
      <t xml:space="preserve">Thuê nhà
</t>
    </r>
    <r>
      <rPr>
        <sz val="11"/>
        <color theme="1"/>
        <rFont val="Times New Roman"/>
      </rPr>
      <t>(Nguyễn Minh Trí
0071000878910 Vietcombank)</t>
    </r>
  </si>
  <si>
    <t>Đã tt 05/11</t>
  </si>
  <si>
    <t>Đã tt 11/11</t>
  </si>
  <si>
    <t>PHÒNG</t>
  </si>
  <si>
    <t>THỜI HẠN HỢP ĐỒNG</t>
  </si>
  <si>
    <t>ĐIỆN</t>
  </si>
  <si>
    <t>3,500,000</t>
  </si>
  <si>
    <t>-</t>
  </si>
  <si>
    <t>4,000,000</t>
  </si>
  <si>
    <t>4,556,000</t>
  </si>
  <si>
    <t>4,800,000</t>
  </si>
  <si>
    <t>4,300,000</t>
  </si>
  <si>
    <t>5,636,000</t>
  </si>
  <si>
    <t>4,600,000</t>
  </si>
  <si>
    <t>4,100,000</t>
  </si>
  <si>
    <t>1,236,000</t>
  </si>
  <si>
    <t>5,836,000</t>
  </si>
  <si>
    <t>5,100,000</t>
  </si>
  <si>
    <t>5,688,000</t>
  </si>
  <si>
    <t>5,500,000</t>
  </si>
  <si>
    <t>5,000,000</t>
  </si>
  <si>
    <t>6,316,000</t>
  </si>
  <si>
    <t>27,500,000</t>
  </si>
  <si>
    <t>21,500,000</t>
  </si>
  <si>
    <t>3,732,000</t>
  </si>
  <si>
    <t>1,100,000</t>
  </si>
  <si>
    <t>1,000,000</t>
  </si>
  <si>
    <t>28,032,000</t>
  </si>
  <si>
    <t>0377.847.484</t>
  </si>
  <si>
    <t>Đã nhận ck 01/10</t>
  </si>
  <si>
    <t>090.133.1416</t>
  </si>
  <si>
    <t>Đã nhận ck 06/10</t>
  </si>
  <si>
    <t>0707.677.050</t>
  </si>
  <si>
    <t>Đã nhận ck 03/10</t>
  </si>
  <si>
    <t>0777.144.254</t>
  </si>
  <si>
    <t>Anh Là thu TM -&gt; đưa Hiệp 11/10</t>
  </si>
  <si>
    <t>Thuê nhà
(Vũ Thị Minh Tâm
0071000693799 Vietcombank)</t>
  </si>
  <si>
    <t>Đã tt 05/10</t>
  </si>
  <si>
    <t>Đã tt 08/10</t>
  </si>
  <si>
    <t>Đã tt 15/10</t>
  </si>
  <si>
    <t>ok</t>
  </si>
  <si>
    <t>Dịch vụ vệ sinh</t>
  </si>
  <si>
    <t>STK NHẬN THANH TOÁN</t>
  </si>
  <si>
    <t>La Vĩnh Tiến 9239999923 Ngân hàng Mbbank</t>
  </si>
  <si>
    <t>Nguyễn Trần Khánh Dương</t>
  </si>
  <si>
    <t>0886.697.272</t>
  </si>
  <si>
    <t>Khách mới 8 tây vào ở, và thu bổ sung</t>
  </si>
  <si>
    <t>Cọc còn lại của phòng 202</t>
  </si>
  <si>
    <t>Thuê nhà</t>
  </si>
  <si>
    <t>Nắng tt</t>
  </si>
  <si>
    <t>Điện</t>
  </si>
  <si>
    <t>Anh Là tt</t>
  </si>
  <si>
    <t>Nước</t>
  </si>
  <si>
    <t>Internet</t>
  </si>
  <si>
    <t>CHI NHÁNH 08: 58 BÙI ĐIỀN, QUẬN 8</t>
  </si>
  <si>
    <t>Lê Thị Trúc Linh</t>
  </si>
  <si>
    <t>0976.517.120</t>
  </si>
  <si>
    <t>1/9/2024 - 1/9/2026</t>
  </si>
  <si>
    <t>Lê Thị Trúc Lam</t>
  </si>
  <si>
    <t>6/8/2024 - 6/8/2025</t>
  </si>
  <si>
    <t>Nguyễn Lê Ngọc Phương Uyên</t>
  </si>
  <si>
    <t>0703.004.625</t>
  </si>
  <si>
    <t>Tiền nhà 5 tây hằng tháng</t>
  </si>
  <si>
    <t>Đặng Thị Ngọc Trâm</t>
  </si>
  <si>
    <t>0366.979.398</t>
  </si>
  <si>
    <t>Nhà</t>
  </si>
  <si>
    <t>Wifi</t>
  </si>
  <si>
    <t>LỢI NHUẬN SAU CHI PHÍ MẶC ĐỊNH</t>
  </si>
  <si>
    <t>Trả công thợ 200k</t>
  </si>
  <si>
    <t>xin 5 tây</t>
  </si>
  <si>
    <t>Để 2 xe điện + sạc 1 xe</t>
  </si>
  <si>
    <t>Chuyển phòng</t>
  </si>
  <si>
    <t xml:space="preserve">Để 1 xe điện </t>
  </si>
  <si>
    <t>Tiền nhà 5 tây hằng tháng, hủy cọc trả phòng</t>
  </si>
  <si>
    <t>Hủy cọc trả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</si>
</sst>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??_);_(@_)"/>
    <numFmt numFmtId="165" formatCode="#,##0\ [$đ-42A]"/>
    <numFmt numFmtId="166" formatCode="00000"/>
  </numFmts>
  <fonts count="29">
    <font>
      <sz val="11"/>
      <color theme="1"/>
      <name val="Arial"/>
      <scheme val="minor"/>
    </font>
    <font>
      <b/>
      <sz val="14"/>
      <color theme="1"/>
      <name val="Times New Roman"/>
    </font>
    <font>
      <sz val="11"/>
      <name val="Arial"/>
    </font>
    <font>
      <sz val="11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sz val="11"/>
      <color rgb="FF000000"/>
      <name val="&quot;Times New Roman&quot;"/>
    </font>
    <font>
      <sz val="11"/>
      <color theme="1"/>
      <name val="Times New Roman"/>
    </font>
    <font>
      <sz val="11"/>
      <color rgb="FF0000FF"/>
      <name val="Times New Roman"/>
    </font>
    <font>
      <sz val="11"/>
      <color rgb="FF0000FF"/>
      <name val="&quot;Times New Roman&quot;"/>
    </font>
    <font>
      <b/>
      <sz val="12"/>
      <color theme="1"/>
      <name val="Times New Roman"/>
    </font>
    <font>
      <b/>
      <sz val="12"/>
      <color rgb="FFFF0000"/>
      <name val="Times New Roman"/>
    </font>
    <font>
      <b/>
      <sz val="11"/>
      <color theme="1"/>
      <name val="Times New Roman"/>
    </font>
    <font>
      <sz val="11"/>
      <color rgb="FF000000"/>
      <name val="Times New Roman"/>
    </font>
    <font>
      <b/>
      <sz val="11"/>
      <color rgb="FF0000FF"/>
      <name val="Times New Roman"/>
    </font>
    <font>
      <b/>
      <sz val="11"/>
      <color rgb="FF000000"/>
      <name val="Times New Roman"/>
    </font>
    <font>
      <sz val="11"/>
      <color rgb="FFFF0000"/>
      <name val="Times New Roman"/>
    </font>
    <font>
      <sz val="11"/>
      <color rgb="FFFF0000"/>
      <name val="Times New Roman"/>
    </font>
    <font>
      <b/>
      <sz val="11"/>
      <color rgb="FF000000"/>
      <name val="&quot;Times New Roman&quot;"/>
    </font>
    <font>
      <sz val="13"/>
      <color rgb="FF000000"/>
      <name val="&quot;Times New Roman&quot;"/>
    </font>
    <font>
      <b/>
      <sz val="13"/>
      <color rgb="FFFF0000"/>
      <name val="&quot;Times New Roman&quot;"/>
    </font>
    <font>
      <sz val="11"/>
      <color rgb="FF0000FF"/>
      <name val="Times New Roman"/>
    </font>
    <font>
      <sz val="11"/>
      <color theme="1"/>
      <name val="Calibri"/>
    </font>
    <font>
      <sz val="11"/>
      <color theme="1"/>
      <name val="Arial"/>
    </font>
    <font>
      <b/>
      <sz val="16"/>
      <color theme="1"/>
      <name val="Times New Roman"/>
    </font>
    <font>
      <sz val="13"/>
      <color theme="1"/>
      <name val="Times New Roman"/>
    </font>
    <font>
      <b/>
      <sz val="13"/>
      <color rgb="FFFF0000"/>
      <name val="Times New Roman"/>
    </font>
    <font>
      <b/>
      <sz val="16"/>
      <color theme="1"/>
      <name val="Calibri"/>
    </font>
    <font>
      <b/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7C80"/>
        <bgColor rgb="FFFF7C8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B0F0"/>
        <bgColor rgb="FF00B0F0"/>
      </patternFill>
    </fill>
    <fill>
      <patternFill patternType="solid">
        <fgColor rgb="FFFEF2CB"/>
        <bgColor rgb="FFFEF2CB"/>
      </patternFill>
    </fill>
    <fill>
      <patternFill patternType="solid">
        <fgColor rgb="FFA1E0F9"/>
        <bgColor rgb="FFA1E0F9"/>
      </patternFill>
    </fill>
    <fill>
      <patternFill patternType="solid">
        <fgColor rgb="FF00B050"/>
        <bgColor rgb="FF00B050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05">
    <xf numFmtId="0" fontId="0" fillId="0" borderId="0" xfId="0" applyFont="1" applyAlignment="1"/>
    <xf numFmtId="0" fontId="3" fillId="0" borderId="0" xfId="0" applyFont="1"/>
    <xf numFmtId="0" fontId="5" fillId="0" borderId="0" xfId="0" applyFont="1" applyAlignment="1">
      <alignment wrapText="1"/>
    </xf>
    <xf numFmtId="164" fontId="4" fillId="3" borderId="12" xfId="0" applyNumberFormat="1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/>
    </xf>
    <xf numFmtId="0" fontId="6" fillId="0" borderId="6" xfId="0" applyFont="1" applyBorder="1" applyAlignment="1"/>
    <xf numFmtId="164" fontId="7" fillId="4" borderId="12" xfId="0" applyNumberFormat="1" applyFont="1" applyFill="1" applyBorder="1" applyAlignment="1">
      <alignment horizontal="center"/>
    </xf>
    <xf numFmtId="14" fontId="7" fillId="4" borderId="12" xfId="0" applyNumberFormat="1" applyFont="1" applyFill="1" applyBorder="1" applyAlignment="1">
      <alignment horizontal="center"/>
    </xf>
    <xf numFmtId="0" fontId="6" fillId="4" borderId="6" xfId="0" applyFont="1" applyFill="1" applyBorder="1" applyAlignment="1"/>
    <xf numFmtId="0" fontId="6" fillId="4" borderId="6" xfId="0" applyFont="1" applyFill="1" applyBorder="1" applyAlignment="1"/>
    <xf numFmtId="1" fontId="7" fillId="4" borderId="12" xfId="0" applyNumberFormat="1" applyFont="1" applyFill="1" applyBorder="1"/>
    <xf numFmtId="164" fontId="7" fillId="4" borderId="12" xfId="0" applyNumberFormat="1" applyFont="1" applyFill="1" applyBorder="1"/>
    <xf numFmtId="164" fontId="7" fillId="4" borderId="12" xfId="0" applyNumberFormat="1" applyFont="1" applyFill="1" applyBorder="1" applyAlignment="1">
      <alignment horizontal="right"/>
    </xf>
    <xf numFmtId="164" fontId="7" fillId="5" borderId="12" xfId="0" applyNumberFormat="1" applyFont="1" applyFill="1" applyBorder="1"/>
    <xf numFmtId="164" fontId="3" fillId="0" borderId="12" xfId="0" applyNumberFormat="1" applyFont="1" applyBorder="1"/>
    <xf numFmtId="0" fontId="8" fillId="0" borderId="12" xfId="0" applyFont="1" applyBorder="1"/>
    <xf numFmtId="0" fontId="6" fillId="4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3" fontId="6" fillId="4" borderId="12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3" fontId="6" fillId="4" borderId="6" xfId="0" applyNumberFormat="1" applyFont="1" applyFill="1" applyBorder="1" applyAlignment="1">
      <alignment horizontal="center" vertical="center"/>
    </xf>
    <xf numFmtId="3" fontId="6" fillId="4" borderId="12" xfId="0" applyNumberFormat="1" applyFont="1" applyFill="1" applyBorder="1" applyAlignment="1">
      <alignment horizontal="center" vertical="center"/>
    </xf>
    <xf numFmtId="164" fontId="7" fillId="5" borderId="12" xfId="0" applyNumberFormat="1" applyFont="1" applyFill="1" applyBorder="1" applyAlignment="1">
      <alignment horizontal="right"/>
    </xf>
    <xf numFmtId="164" fontId="7" fillId="6" borderId="12" xfId="0" applyNumberFormat="1" applyFont="1" applyFill="1" applyBorder="1"/>
    <xf numFmtId="0" fontId="9" fillId="6" borderId="6" xfId="0" applyFont="1" applyFill="1" applyBorder="1" applyAlignment="1">
      <alignment horizontal="left" vertical="center"/>
    </xf>
    <xf numFmtId="164" fontId="7" fillId="6" borderId="12" xfId="0" applyNumberFormat="1" applyFont="1" applyFill="1" applyBorder="1" applyAlignment="1"/>
    <xf numFmtId="0" fontId="6" fillId="4" borderId="12" xfId="0" applyFont="1" applyFill="1" applyBorder="1" applyAlignment="1">
      <alignment horizontal="center" vertical="center"/>
    </xf>
    <xf numFmtId="0" fontId="6" fillId="0" borderId="12" xfId="0" applyFont="1" applyBorder="1" applyAlignment="1"/>
    <xf numFmtId="14" fontId="7" fillId="5" borderId="12" xfId="0" applyNumberFormat="1" applyFont="1" applyFill="1" applyBorder="1" applyAlignment="1">
      <alignment horizontal="center"/>
    </xf>
    <xf numFmtId="1" fontId="7" fillId="5" borderId="12" xfId="0" applyNumberFormat="1" applyFont="1" applyFill="1" applyBorder="1"/>
    <xf numFmtId="164" fontId="7" fillId="5" borderId="12" xfId="0" applyNumberFormat="1" applyFont="1" applyFill="1" applyBorder="1" applyAlignment="1"/>
    <xf numFmtId="164" fontId="10" fillId="2" borderId="12" xfId="0" applyNumberFormat="1" applyFont="1" applyFill="1" applyBorder="1"/>
    <xf numFmtId="164" fontId="11" fillId="2" borderId="12" xfId="0" applyNumberFormat="1" applyFont="1" applyFill="1" applyBorder="1"/>
    <xf numFmtId="14" fontId="10" fillId="2" borderId="12" xfId="0" applyNumberFormat="1" applyFont="1" applyFill="1" applyBorder="1"/>
    <xf numFmtId="164" fontId="10" fillId="2" borderId="12" xfId="0" applyNumberFormat="1" applyFont="1" applyFill="1" applyBorder="1" applyAlignment="1">
      <alignment horizontal="right"/>
    </xf>
    <xf numFmtId="1" fontId="10" fillId="2" borderId="12" xfId="0" applyNumberFormat="1" applyFont="1" applyFill="1" applyBorder="1"/>
    <xf numFmtId="0" fontId="10" fillId="0" borderId="0" xfId="0" applyFont="1"/>
    <xf numFmtId="164" fontId="12" fillId="0" borderId="12" xfId="0" applyNumberFormat="1" applyFont="1" applyBorder="1" applyAlignment="1">
      <alignment horizontal="center"/>
    </xf>
    <xf numFmtId="164" fontId="7" fillId="6" borderId="12" xfId="0" applyNumberFormat="1" applyFont="1" applyFill="1" applyBorder="1" applyAlignment="1">
      <alignment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wrapText="1"/>
    </xf>
    <xf numFmtId="164" fontId="13" fillId="6" borderId="12" xfId="0" applyNumberFormat="1" applyFont="1" applyFill="1" applyBorder="1" applyAlignment="1"/>
    <xf numFmtId="0" fontId="7" fillId="0" borderId="0" xfId="0" applyFont="1" applyAlignment="1">
      <alignment wrapText="1"/>
    </xf>
    <xf numFmtId="164" fontId="3" fillId="6" borderId="12" xfId="0" applyNumberFormat="1" applyFont="1" applyFill="1" applyBorder="1"/>
    <xf numFmtId="0" fontId="3" fillId="7" borderId="12" xfId="0" applyFont="1" applyFill="1" applyBorder="1" applyAlignment="1"/>
    <xf numFmtId="164" fontId="7" fillId="7" borderId="12" xfId="0" applyNumberFormat="1" applyFont="1" applyFill="1" applyBorder="1" applyAlignment="1"/>
    <xf numFmtId="164" fontId="7" fillId="7" borderId="12" xfId="0" applyNumberFormat="1" applyFont="1" applyFill="1" applyBorder="1"/>
    <xf numFmtId="164" fontId="12" fillId="2" borderId="12" xfId="0" applyNumberFormat="1" applyFont="1" applyFill="1" applyBorder="1"/>
    <xf numFmtId="10" fontId="14" fillId="0" borderId="0" xfId="0" applyNumberFormat="1" applyFont="1" applyAlignment="1">
      <alignment horizontal="right"/>
    </xf>
    <xf numFmtId="164" fontId="12" fillId="0" borderId="0" xfId="0" applyNumberFormat="1" applyFont="1"/>
    <xf numFmtId="0" fontId="13" fillId="0" borderId="0" xfId="0" applyFont="1" applyAlignment="1"/>
    <xf numFmtId="10" fontId="14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right"/>
    </xf>
    <xf numFmtId="0" fontId="16" fillId="0" borderId="0" xfId="0" applyFont="1" applyAlignment="1"/>
    <xf numFmtId="3" fontId="3" fillId="0" borderId="0" xfId="0" applyNumberFormat="1" applyFont="1"/>
    <xf numFmtId="0" fontId="6" fillId="0" borderId="12" xfId="0" applyFont="1" applyBorder="1" applyAlignment="1"/>
    <xf numFmtId="3" fontId="6" fillId="4" borderId="12" xfId="0" applyNumberFormat="1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3" fontId="6" fillId="4" borderId="12" xfId="0" applyNumberFormat="1" applyFont="1" applyFill="1" applyBorder="1" applyAlignment="1">
      <alignment horizontal="right"/>
    </xf>
    <xf numFmtId="0" fontId="6" fillId="4" borderId="12" xfId="0" applyFont="1" applyFill="1" applyBorder="1" applyAlignment="1">
      <alignment horizontal="right"/>
    </xf>
    <xf numFmtId="0" fontId="8" fillId="6" borderId="12" xfId="0" applyFont="1" applyFill="1" applyBorder="1" applyAlignment="1"/>
    <xf numFmtId="3" fontId="6" fillId="4" borderId="6" xfId="0" applyNumberFormat="1" applyFont="1" applyFill="1" applyBorder="1" applyAlignment="1">
      <alignment horizontal="center"/>
    </xf>
    <xf numFmtId="3" fontId="6" fillId="4" borderId="12" xfId="0" applyNumberFormat="1" applyFont="1" applyFill="1" applyBorder="1" applyAlignment="1"/>
    <xf numFmtId="0" fontId="7" fillId="5" borderId="12" xfId="0" applyFont="1" applyFill="1" applyBorder="1" applyAlignment="1">
      <alignment horizontal="center"/>
    </xf>
    <xf numFmtId="164" fontId="16" fillId="5" borderId="12" xfId="0" applyNumberFormat="1" applyFont="1" applyFill="1" applyBorder="1"/>
    <xf numFmtId="0" fontId="17" fillId="0" borderId="12" xfId="0" applyFont="1" applyBorder="1" applyAlignment="1"/>
    <xf numFmtId="0" fontId="17" fillId="0" borderId="0" xfId="0" applyFont="1" applyAlignment="1"/>
    <xf numFmtId="0" fontId="3" fillId="5" borderId="0" xfId="0" applyFont="1" applyFill="1"/>
    <xf numFmtId="0" fontId="18" fillId="3" borderId="6" xfId="0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18" fillId="3" borderId="1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right"/>
    </xf>
    <xf numFmtId="0" fontId="6" fillId="4" borderId="6" xfId="0" applyFont="1" applyFill="1" applyBorder="1" applyAlignment="1">
      <alignment horizontal="center"/>
    </xf>
    <xf numFmtId="0" fontId="6" fillId="4" borderId="12" xfId="0" applyFont="1" applyFill="1" applyBorder="1" applyAlignment="1"/>
    <xf numFmtId="0" fontId="6" fillId="4" borderId="12" xfId="0" applyFont="1" applyFill="1" applyBorder="1" applyAlignment="1">
      <alignment horizontal="right"/>
    </xf>
    <xf numFmtId="0" fontId="6" fillId="4" borderId="12" xfId="0" applyFont="1" applyFill="1" applyBorder="1" applyAlignment="1"/>
    <xf numFmtId="0" fontId="6" fillId="4" borderId="12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3" xfId="0" applyFont="1" applyFill="1" applyBorder="1" applyAlignment="1"/>
    <xf numFmtId="0" fontId="6" fillId="4" borderId="14" xfId="0" applyFont="1" applyFill="1" applyBorder="1" applyAlignment="1"/>
    <xf numFmtId="0" fontId="6" fillId="4" borderId="14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right"/>
    </xf>
    <xf numFmtId="0" fontId="19" fillId="8" borderId="12" xfId="0" applyFont="1" applyFill="1" applyBorder="1" applyAlignment="1"/>
    <xf numFmtId="0" fontId="20" fillId="8" borderId="10" xfId="0" applyFont="1" applyFill="1" applyBorder="1" applyAlignment="1"/>
    <xf numFmtId="0" fontId="20" fillId="8" borderId="10" xfId="0" applyFont="1" applyFill="1" applyBorder="1" applyAlignment="1"/>
    <xf numFmtId="0" fontId="19" fillId="8" borderId="10" xfId="0" applyFont="1" applyFill="1" applyBorder="1" applyAlignment="1"/>
    <xf numFmtId="0" fontId="19" fillId="8" borderId="10" xfId="0" applyFont="1" applyFill="1" applyBorder="1" applyAlignment="1">
      <alignment horizontal="right"/>
    </xf>
    <xf numFmtId="0" fontId="19" fillId="8" borderId="10" xfId="0" applyFont="1" applyFill="1" applyBorder="1" applyAlignment="1">
      <alignment horizontal="right"/>
    </xf>
    <xf numFmtId="0" fontId="19" fillId="8" borderId="10" xfId="0" applyFont="1" applyFill="1" applyBorder="1" applyAlignment="1"/>
    <xf numFmtId="0" fontId="7" fillId="0" borderId="15" xfId="0" applyFont="1" applyBorder="1"/>
    <xf numFmtId="0" fontId="7" fillId="0" borderId="0" xfId="0" applyFont="1"/>
    <xf numFmtId="164" fontId="4" fillId="3" borderId="12" xfId="0" applyNumberFormat="1" applyFont="1" applyFill="1" applyBorder="1" applyAlignment="1">
      <alignment horizontal="center" vertical="center"/>
    </xf>
    <xf numFmtId="164" fontId="7" fillId="5" borderId="12" xfId="0" applyNumberFormat="1" applyFont="1" applyFill="1" applyBorder="1" applyAlignment="1">
      <alignment horizontal="center"/>
    </xf>
    <xf numFmtId="164" fontId="7" fillId="0" borderId="12" xfId="0" applyNumberFormat="1" applyFont="1" applyBorder="1"/>
    <xf numFmtId="166" fontId="7" fillId="5" borderId="12" xfId="0" applyNumberFormat="1" applyFont="1" applyFill="1" applyBorder="1" applyAlignment="1">
      <alignment horizontal="center"/>
    </xf>
    <xf numFmtId="164" fontId="21" fillId="5" borderId="12" xfId="0" applyNumberFormat="1" applyFont="1" applyFill="1" applyBorder="1"/>
    <xf numFmtId="164" fontId="21" fillId="5" borderId="12" xfId="0" applyNumberFormat="1" applyFont="1" applyFill="1" applyBorder="1" applyAlignment="1"/>
    <xf numFmtId="1" fontId="7" fillId="5" borderId="12" xfId="0" applyNumberFormat="1" applyFont="1" applyFill="1" applyBorder="1" applyAlignment="1"/>
    <xf numFmtId="164" fontId="16" fillId="5" borderId="12" xfId="0" applyNumberFormat="1" applyFont="1" applyFill="1" applyBorder="1" applyAlignment="1"/>
    <xf numFmtId="0" fontId="10" fillId="0" borderId="0" xfId="0" applyFont="1"/>
    <xf numFmtId="164" fontId="4" fillId="0" borderId="12" xfId="0" applyNumberFormat="1" applyFont="1" applyBorder="1" applyAlignment="1">
      <alignment horizontal="center"/>
    </xf>
    <xf numFmtId="164" fontId="7" fillId="6" borderId="12" xfId="0" applyNumberFormat="1" applyFont="1" applyFill="1" applyBorder="1" applyAlignment="1">
      <alignment vertical="center"/>
    </xf>
    <xf numFmtId="164" fontId="7" fillId="6" borderId="12" xfId="0" applyNumberFormat="1" applyFont="1" applyFill="1" applyBorder="1" applyAlignment="1">
      <alignment vertical="center"/>
    </xf>
    <xf numFmtId="164" fontId="13" fillId="6" borderId="12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64" fontId="7" fillId="9" borderId="12" xfId="0" applyNumberFormat="1" applyFont="1" applyFill="1" applyBorder="1"/>
    <xf numFmtId="164" fontId="7" fillId="7" borderId="12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right"/>
    </xf>
    <xf numFmtId="0" fontId="22" fillId="0" borderId="0" xfId="0" applyFont="1"/>
    <xf numFmtId="0" fontId="23" fillId="0" borderId="0" xfId="0" applyFont="1" applyAlignment="1"/>
    <xf numFmtId="0" fontId="3" fillId="0" borderId="12" xfId="0" applyFont="1" applyBorder="1"/>
    <xf numFmtId="164" fontId="7" fillId="0" borderId="12" xfId="0" applyNumberFormat="1" applyFont="1" applyBorder="1" applyAlignment="1"/>
    <xf numFmtId="0" fontId="8" fillId="0" borderId="0" xfId="0" applyFont="1" applyAlignment="1"/>
    <xf numFmtId="0" fontId="3" fillId="6" borderId="12" xfId="0" applyFont="1" applyFill="1" applyBorder="1" applyAlignment="1"/>
    <xf numFmtId="164" fontId="12" fillId="3" borderId="29" xfId="0" applyNumberFormat="1" applyFont="1" applyFill="1" applyBorder="1" applyAlignment="1">
      <alignment horizontal="center" vertical="center"/>
    </xf>
    <xf numFmtId="164" fontId="12" fillId="3" borderId="30" xfId="0" applyNumberFormat="1" applyFont="1" applyFill="1" applyBorder="1" applyAlignment="1">
      <alignment horizontal="center" vertical="center"/>
    </xf>
    <xf numFmtId="164" fontId="12" fillId="3" borderId="31" xfId="0" applyNumberFormat="1" applyFont="1" applyFill="1" applyBorder="1" applyAlignment="1">
      <alignment horizontal="center" vertical="center"/>
    </xf>
    <xf numFmtId="164" fontId="7" fillId="5" borderId="33" xfId="0" applyNumberFormat="1" applyFont="1" applyFill="1" applyBorder="1" applyAlignment="1">
      <alignment horizontal="center"/>
    </xf>
    <xf numFmtId="164" fontId="7" fillId="0" borderId="11" xfId="0" applyNumberFormat="1" applyFont="1" applyBorder="1"/>
    <xf numFmtId="164" fontId="7" fillId="4" borderId="34" xfId="0" applyNumberFormat="1" applyFont="1" applyFill="1" applyBorder="1" applyAlignment="1">
      <alignment horizontal="center"/>
    </xf>
    <xf numFmtId="14" fontId="7" fillId="4" borderId="34" xfId="0" applyNumberFormat="1" applyFont="1" applyFill="1" applyBorder="1" applyAlignment="1">
      <alignment horizontal="center"/>
    </xf>
    <xf numFmtId="164" fontId="7" fillId="4" borderId="34" xfId="0" applyNumberFormat="1" applyFont="1" applyFill="1" applyBorder="1"/>
    <xf numFmtId="1" fontId="7" fillId="4" borderId="34" xfId="0" applyNumberFormat="1" applyFont="1" applyFill="1" applyBorder="1"/>
    <xf numFmtId="164" fontId="7" fillId="4" borderId="34" xfId="0" applyNumberFormat="1" applyFont="1" applyFill="1" applyBorder="1" applyAlignment="1">
      <alignment horizontal="right"/>
    </xf>
    <xf numFmtId="164" fontId="7" fillId="6" borderId="34" xfId="0" applyNumberFormat="1" applyFont="1" applyFill="1" applyBorder="1"/>
    <xf numFmtId="164" fontId="7" fillId="4" borderId="35" xfId="0" applyNumberFormat="1" applyFont="1" applyFill="1" applyBorder="1"/>
    <xf numFmtId="164" fontId="7" fillId="5" borderId="36" xfId="0" applyNumberFormat="1" applyFont="1" applyFill="1" applyBorder="1" applyAlignment="1">
      <alignment horizontal="center"/>
    </xf>
    <xf numFmtId="164" fontId="7" fillId="5" borderId="37" xfId="0" applyNumberFormat="1" applyFont="1" applyFill="1" applyBorder="1"/>
    <xf numFmtId="164" fontId="7" fillId="5" borderId="34" xfId="0" applyNumberFormat="1" applyFont="1" applyFill="1" applyBorder="1"/>
    <xf numFmtId="164" fontId="7" fillId="5" borderId="38" xfId="0" applyNumberFormat="1" applyFont="1" applyFill="1" applyBorder="1"/>
    <xf numFmtId="164" fontId="7" fillId="5" borderId="39" xfId="0" applyNumberFormat="1" applyFont="1" applyFill="1" applyBorder="1"/>
    <xf numFmtId="14" fontId="7" fillId="5" borderId="39" xfId="0" applyNumberFormat="1" applyFont="1" applyFill="1" applyBorder="1" applyAlignment="1">
      <alignment horizontal="center"/>
    </xf>
    <xf numFmtId="1" fontId="7" fillId="5" borderId="39" xfId="0" applyNumberFormat="1" applyFont="1" applyFill="1" applyBorder="1"/>
    <xf numFmtId="164" fontId="7" fillId="5" borderId="39" xfId="0" applyNumberFormat="1" applyFont="1" applyFill="1" applyBorder="1" applyAlignment="1">
      <alignment horizontal="right"/>
    </xf>
    <xf numFmtId="164" fontId="7" fillId="5" borderId="40" xfId="0" applyNumberFormat="1" applyFont="1" applyFill="1" applyBorder="1"/>
    <xf numFmtId="164" fontId="25" fillId="8" borderId="41" xfId="0" applyNumberFormat="1" applyFont="1" applyFill="1" applyBorder="1"/>
    <xf numFmtId="164" fontId="26" fillId="8" borderId="42" xfId="0" applyNumberFormat="1" applyFont="1" applyFill="1" applyBorder="1"/>
    <xf numFmtId="14" fontId="25" fillId="8" borderId="42" xfId="0" applyNumberFormat="1" applyFont="1" applyFill="1" applyBorder="1"/>
    <xf numFmtId="164" fontId="25" fillId="8" borderId="42" xfId="0" applyNumberFormat="1" applyFont="1" applyFill="1" applyBorder="1" applyAlignment="1">
      <alignment horizontal="right"/>
    </xf>
    <xf numFmtId="1" fontId="25" fillId="8" borderId="42" xfId="0" applyNumberFormat="1" applyFont="1" applyFill="1" applyBorder="1"/>
    <xf numFmtId="164" fontId="25" fillId="8" borderId="42" xfId="0" applyNumberFormat="1" applyFont="1" applyFill="1" applyBorder="1"/>
    <xf numFmtId="164" fontId="25" fillId="8" borderId="43" xfId="0" applyNumberFormat="1" applyFont="1" applyFill="1" applyBorder="1"/>
    <xf numFmtId="164" fontId="12" fillId="0" borderId="41" xfId="0" applyNumberFormat="1" applyFont="1" applyBorder="1" applyAlignment="1">
      <alignment horizontal="center"/>
    </xf>
    <xf numFmtId="164" fontId="12" fillId="0" borderId="42" xfId="0" applyNumberFormat="1" applyFont="1" applyBorder="1" applyAlignment="1">
      <alignment horizontal="center"/>
    </xf>
    <xf numFmtId="164" fontId="12" fillId="0" borderId="43" xfId="0" applyNumberFormat="1" applyFont="1" applyBorder="1" applyAlignment="1">
      <alignment horizontal="center"/>
    </xf>
    <xf numFmtId="164" fontId="7" fillId="0" borderId="45" xfId="0" applyNumberFormat="1" applyFont="1" applyBorder="1"/>
    <xf numFmtId="164" fontId="7" fillId="0" borderId="46" xfId="0" applyNumberFormat="1" applyFont="1" applyBorder="1"/>
    <xf numFmtId="164" fontId="7" fillId="0" borderId="47" xfId="0" applyNumberFormat="1" applyFont="1" applyBorder="1"/>
    <xf numFmtId="164" fontId="7" fillId="0" borderId="36" xfId="0" applyNumberFormat="1" applyFont="1" applyBorder="1"/>
    <xf numFmtId="164" fontId="7" fillId="0" borderId="37" xfId="0" applyNumberFormat="1" applyFont="1" applyBorder="1"/>
    <xf numFmtId="164" fontId="7" fillId="0" borderId="48" xfId="0" applyNumberFormat="1" applyFont="1" applyBorder="1"/>
    <xf numFmtId="164" fontId="22" fillId="0" borderId="49" xfId="0" applyNumberFormat="1" applyFont="1" applyBorder="1"/>
    <xf numFmtId="0" fontId="22" fillId="0" borderId="49" xfId="0" applyFont="1" applyBorder="1"/>
    <xf numFmtId="164" fontId="7" fillId="0" borderId="50" xfId="0" applyNumberFormat="1" applyFont="1" applyBorder="1"/>
    <xf numFmtId="0" fontId="22" fillId="0" borderId="51" xfId="0" applyFont="1" applyBorder="1"/>
    <xf numFmtId="164" fontId="7" fillId="0" borderId="52" xfId="0" applyNumberFormat="1" applyFont="1" applyBorder="1"/>
    <xf numFmtId="164" fontId="22" fillId="0" borderId="0" xfId="0" applyNumberFormat="1" applyFont="1"/>
    <xf numFmtId="0" fontId="22" fillId="0" borderId="53" xfId="0" applyFont="1" applyBorder="1"/>
    <xf numFmtId="164" fontId="4" fillId="3" borderId="7" xfId="0" applyNumberFormat="1" applyFont="1" applyFill="1" applyBorder="1" applyAlignment="1">
      <alignment horizontal="center" vertical="center" wrapText="1"/>
    </xf>
    <xf numFmtId="0" fontId="2" fillId="0" borderId="11" xfId="0" applyFont="1" applyBorder="1"/>
    <xf numFmtId="164" fontId="4" fillId="3" borderId="8" xfId="0" applyNumberFormat="1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4" fontId="1" fillId="3" borderId="4" xfId="0" applyNumberFormat="1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12" fillId="0" borderId="7" xfId="0" applyFont="1" applyBorder="1" applyAlignment="1">
      <alignment horizontal="center" vertical="center" wrapText="1"/>
    </xf>
    <xf numFmtId="0" fontId="2" fillId="0" borderId="13" xfId="0" applyFont="1" applyBorder="1"/>
    <xf numFmtId="0" fontId="15" fillId="0" borderId="0" xfId="0" applyFont="1" applyAlignment="1">
      <alignment horizontal="center"/>
    </xf>
    <xf numFmtId="0" fontId="0" fillId="0" borderId="0" xfId="0" applyFont="1" applyAlignment="1"/>
    <xf numFmtId="164" fontId="1" fillId="2" borderId="1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18" fillId="3" borderId="7" xfId="0" applyFont="1" applyFill="1" applyBorder="1" applyAlignment="1">
      <alignment horizontal="center"/>
    </xf>
    <xf numFmtId="0" fontId="18" fillId="3" borderId="9" xfId="0" applyFont="1" applyFill="1" applyBorder="1" applyAlignment="1">
      <alignment horizontal="center"/>
    </xf>
    <xf numFmtId="3" fontId="18" fillId="3" borderId="7" xfId="0" applyNumberFormat="1" applyFont="1" applyFill="1" applyBorder="1" applyAlignment="1">
      <alignment horizontal="center"/>
    </xf>
    <xf numFmtId="0" fontId="18" fillId="3" borderId="8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164" fontId="4" fillId="3" borderId="7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24" fillId="3" borderId="1" xfId="0" applyFont="1" applyFill="1" applyBorder="1" applyAlignment="1">
      <alignment horizontal="center" vertical="center" wrapText="1"/>
    </xf>
    <xf numFmtId="164" fontId="12" fillId="3" borderId="22" xfId="0" applyNumberFormat="1" applyFont="1" applyFill="1" applyBorder="1" applyAlignment="1">
      <alignment horizontal="center" vertical="center"/>
    </xf>
    <xf numFmtId="0" fontId="2" fillId="0" borderId="28" xfId="0" applyFont="1" applyBorder="1"/>
    <xf numFmtId="164" fontId="12" fillId="3" borderId="23" xfId="0" applyNumberFormat="1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0" fontId="27" fillId="3" borderId="16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8" fillId="11" borderId="22" xfId="0" applyFont="1" applyFill="1" applyBorder="1" applyAlignment="1">
      <alignment horizontal="center" vertical="center" wrapText="1"/>
    </xf>
    <xf numFmtId="0" fontId="2" fillId="0" borderId="44" xfId="0" applyFont="1" applyBorder="1"/>
    <xf numFmtId="0" fontId="28" fillId="3" borderId="22" xfId="0" applyFont="1" applyFill="1" applyBorder="1" applyAlignment="1">
      <alignment horizontal="center" vertical="center" wrapText="1"/>
    </xf>
    <xf numFmtId="164" fontId="7" fillId="3" borderId="22" xfId="0" applyNumberFormat="1" applyFont="1" applyFill="1" applyBorder="1" applyAlignment="1">
      <alignment horizontal="center" vertical="center"/>
    </xf>
    <xf numFmtId="0" fontId="2" fillId="0" borderId="26" xfId="0" applyFont="1" applyBorder="1"/>
    <xf numFmtId="164" fontId="12" fillId="3" borderId="27" xfId="0" applyNumberFormat="1" applyFont="1" applyFill="1" applyBorder="1" applyAlignment="1">
      <alignment horizontal="center" vertical="center"/>
    </xf>
    <xf numFmtId="0" fontId="2" fillId="0" borderId="32" xfId="0" applyFont="1" applyBorder="1"/>
    <xf numFmtId="164" fontId="1" fillId="10" borderId="16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70"/>
  <sheetViews>
    <sheetView tabSelected="1" workbookViewId="0">
      <selection activeCell="E16" sqref="E16"/>
    </sheetView>
  </sheetViews>
  <sheetFormatPr defaultColWidth="12.59765625" defaultRowHeight="15" customHeight="1" outlineLevelRow="1"/>
  <cols>
    <col min="1" max="1" width="7.8984375" customWidth="1"/>
    <col min="2" max="2" width="25.09765625" customWidth="1"/>
    <col min="3" max="3" width="15" customWidth="1"/>
    <col min="4" max="4" width="18.59765625" customWidth="1"/>
    <col min="5" max="5" width="12.5" customWidth="1"/>
    <col min="6" max="6" width="16.59765625" customWidth="1"/>
    <col min="7" max="7" width="10.5" customWidth="1"/>
    <col min="8" max="8" width="7.5" customWidth="1"/>
    <col min="9" max="9" width="8.59765625" customWidth="1"/>
    <col min="10" max="10" width="15.19921875" customWidth="1"/>
    <col min="11" max="11" width="13.59765625" customWidth="1"/>
    <col min="12" max="12" width="12.59765625" customWidth="1"/>
    <col min="13" max="13" width="13.59765625" customWidth="1"/>
    <col min="14" max="14" width="6.19921875" customWidth="1"/>
    <col min="15" max="15" width="8.69921875" customWidth="1"/>
    <col min="16" max="16" width="9.69921875" customWidth="1"/>
    <col min="17" max="17" width="11.69921875" customWidth="1"/>
    <col min="18" max="18" width="9.19921875" customWidth="1"/>
    <col min="19" max="19" width="11.69921875" customWidth="1"/>
    <col min="20" max="20" width="12.3984375" customWidth="1"/>
    <col min="21" max="21" width="19.8984375" customWidth="1"/>
    <col min="22" max="27" width="7.59765625" customWidth="1"/>
  </cols>
  <sheetData>
    <row r="1" spans="1:27" ht="13.8">
      <c r="A1" s="17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7"/>
      <c r="V1" s="1"/>
      <c r="W1" s="1"/>
      <c r="X1" s="1"/>
      <c r="Y1" s="1"/>
      <c r="Z1" s="1"/>
      <c r="AA1" s="1"/>
    </row>
    <row r="2" spans="1:27" ht="13.8">
      <c r="A2" s="176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70"/>
      <c r="V2" s="1"/>
      <c r="W2" s="1"/>
      <c r="X2" s="1"/>
      <c r="Y2" s="1"/>
      <c r="Z2" s="1"/>
      <c r="AA2" s="1"/>
    </row>
    <row r="3" spans="1:27" ht="13.8">
      <c r="A3" s="160" t="s">
        <v>1</v>
      </c>
      <c r="B3" s="160" t="s">
        <v>2</v>
      </c>
      <c r="C3" s="160" t="s">
        <v>3</v>
      </c>
      <c r="D3" s="160" t="s">
        <v>4</v>
      </c>
      <c r="E3" s="160" t="s">
        <v>5</v>
      </c>
      <c r="F3" s="160" t="s">
        <v>6</v>
      </c>
      <c r="G3" s="160" t="s">
        <v>7</v>
      </c>
      <c r="H3" s="162" t="s">
        <v>8</v>
      </c>
      <c r="I3" s="163"/>
      <c r="J3" s="163"/>
      <c r="K3" s="164"/>
      <c r="L3" s="162" t="s">
        <v>9</v>
      </c>
      <c r="M3" s="164"/>
      <c r="N3" s="160" t="s">
        <v>10</v>
      </c>
      <c r="O3" s="160" t="s">
        <v>11</v>
      </c>
      <c r="P3" s="160" t="s">
        <v>12</v>
      </c>
      <c r="Q3" s="160" t="s">
        <v>13</v>
      </c>
      <c r="R3" s="160" t="s">
        <v>14</v>
      </c>
      <c r="S3" s="160" t="s">
        <v>15</v>
      </c>
      <c r="T3" s="160" t="s">
        <v>16</v>
      </c>
      <c r="U3" s="160" t="s">
        <v>17</v>
      </c>
      <c r="V3" s="2"/>
      <c r="W3" s="2"/>
      <c r="X3" s="2"/>
      <c r="Y3" s="2"/>
      <c r="Z3" s="2"/>
      <c r="AA3" s="2"/>
    </row>
    <row r="4" spans="1:27" ht="13.8">
      <c r="A4" s="161"/>
      <c r="B4" s="161"/>
      <c r="C4" s="161"/>
      <c r="D4" s="161"/>
      <c r="E4" s="161"/>
      <c r="F4" s="161"/>
      <c r="G4" s="161"/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21</v>
      </c>
      <c r="N4" s="161"/>
      <c r="O4" s="161"/>
      <c r="P4" s="161"/>
      <c r="Q4" s="161"/>
      <c r="R4" s="161"/>
      <c r="S4" s="161"/>
      <c r="T4" s="161"/>
      <c r="U4" s="161"/>
      <c r="V4" s="2"/>
      <c r="W4" s="2"/>
      <c r="X4" s="2"/>
      <c r="Y4" s="2"/>
      <c r="Z4" s="2"/>
      <c r="AA4" s="2"/>
    </row>
    <row r="5" spans="1:27" ht="13.8">
      <c r="A5" s="4" t="s">
        <v>23</v>
      </c>
      <c r="B5" s="5"/>
      <c r="C5" s="6"/>
      <c r="D5" s="7"/>
      <c r="E5" s="8"/>
      <c r="F5" s="9"/>
      <c r="G5" s="10"/>
      <c r="H5" s="11"/>
      <c r="I5" s="11"/>
      <c r="J5" s="11"/>
      <c r="K5" s="11">
        <f>(I5-H5)*J5</f>
        <v>0</v>
      </c>
      <c r="L5" s="11"/>
      <c r="M5" s="11">
        <f>L5*G5</f>
        <v>0</v>
      </c>
      <c r="N5" s="11"/>
      <c r="O5" s="11"/>
      <c r="P5" s="11"/>
      <c r="Q5" s="11"/>
      <c r="R5" s="12"/>
      <c r="S5" s="13"/>
      <c r="T5" s="14">
        <f>S5</f>
        <v>0</v>
      </c>
      <c r="U5" s="15"/>
      <c r="V5" s="1"/>
      <c r="W5" s="1"/>
      <c r="X5" s="1"/>
      <c r="Y5" s="1"/>
      <c r="Z5" s="1"/>
      <c r="AA5" s="1"/>
    </row>
    <row r="6" spans="1:27" ht="13.8">
      <c r="A6" s="16" t="s">
        <v>24</v>
      </c>
      <c r="B6" s="17" t="s">
        <v>25</v>
      </c>
      <c r="C6" s="18">
        <v>377847484</v>
      </c>
      <c r="D6" s="19" t="s">
        <v>26</v>
      </c>
      <c r="E6" s="18">
        <v>4000000</v>
      </c>
      <c r="F6" s="18">
        <v>3500000</v>
      </c>
      <c r="G6" s="19">
        <v>1</v>
      </c>
      <c r="H6" s="20">
        <v>4082</v>
      </c>
      <c r="I6" s="20">
        <v>4246</v>
      </c>
      <c r="J6" s="19">
        <v>4</v>
      </c>
      <c r="K6" s="21">
        <v>656000</v>
      </c>
      <c r="L6" s="21">
        <v>100000</v>
      </c>
      <c r="M6" s="21">
        <v>100000</v>
      </c>
      <c r="N6" s="22"/>
      <c r="O6" s="18">
        <v>100000</v>
      </c>
      <c r="P6" s="18">
        <v>200000</v>
      </c>
      <c r="Q6" s="21">
        <v>4556000</v>
      </c>
      <c r="R6" s="23"/>
      <c r="S6" s="24">
        <f t="shared" ref="S6:S10" si="0">Q6-R6</f>
        <v>4556000</v>
      </c>
      <c r="T6" s="24"/>
      <c r="U6" s="25" t="s">
        <v>27</v>
      </c>
      <c r="V6" s="1"/>
      <c r="W6" s="1"/>
      <c r="X6" s="1"/>
      <c r="Y6" s="1"/>
      <c r="Z6" s="1"/>
      <c r="AA6" s="1"/>
    </row>
    <row r="7" spans="1:27" ht="13.8">
      <c r="A7" s="16">
        <v>101</v>
      </c>
      <c r="B7" s="17" t="s">
        <v>28</v>
      </c>
      <c r="C7" s="21">
        <v>901331416</v>
      </c>
      <c r="D7" s="19" t="s">
        <v>29</v>
      </c>
      <c r="E7" s="18">
        <v>4800000</v>
      </c>
      <c r="F7" s="18">
        <v>4300000</v>
      </c>
      <c r="G7" s="19">
        <v>3</v>
      </c>
      <c r="H7" s="20">
        <v>1774</v>
      </c>
      <c r="I7" s="20">
        <v>1958</v>
      </c>
      <c r="J7" s="19">
        <v>4</v>
      </c>
      <c r="K7" s="21">
        <v>736000</v>
      </c>
      <c r="L7" s="21">
        <v>100000</v>
      </c>
      <c r="M7" s="21">
        <v>300000</v>
      </c>
      <c r="N7" s="22"/>
      <c r="O7" s="18">
        <v>100000</v>
      </c>
      <c r="P7" s="18">
        <v>200000</v>
      </c>
      <c r="Q7" s="21">
        <v>5636000</v>
      </c>
      <c r="R7" s="23"/>
      <c r="S7" s="24">
        <f t="shared" si="0"/>
        <v>5636000</v>
      </c>
      <c r="T7" s="24"/>
      <c r="U7" s="25" t="s">
        <v>30</v>
      </c>
      <c r="V7" s="1"/>
      <c r="W7" s="1"/>
      <c r="X7" s="1"/>
      <c r="Y7" s="1"/>
      <c r="Z7" s="1"/>
      <c r="AA7" s="1"/>
    </row>
    <row r="8" spans="1:27" ht="13.8">
      <c r="A8" s="16">
        <v>102</v>
      </c>
      <c r="B8" s="17" t="s">
        <v>31</v>
      </c>
      <c r="C8" s="18">
        <v>707677050</v>
      </c>
      <c r="D8" s="19" t="s">
        <v>32</v>
      </c>
      <c r="E8" s="18">
        <v>4600000</v>
      </c>
      <c r="F8" s="18">
        <v>4100000</v>
      </c>
      <c r="G8" s="19">
        <v>2</v>
      </c>
      <c r="H8" s="20">
        <v>4705</v>
      </c>
      <c r="I8" s="20">
        <v>5014</v>
      </c>
      <c r="J8" s="19">
        <v>4</v>
      </c>
      <c r="K8" s="21">
        <v>1236000</v>
      </c>
      <c r="L8" s="21">
        <v>100000</v>
      </c>
      <c r="M8" s="21">
        <v>200000</v>
      </c>
      <c r="N8" s="22"/>
      <c r="O8" s="18">
        <v>100000</v>
      </c>
      <c r="P8" s="18">
        <v>200000</v>
      </c>
      <c r="Q8" s="21">
        <v>5836000</v>
      </c>
      <c r="R8" s="23"/>
      <c r="S8" s="24">
        <f t="shared" si="0"/>
        <v>5836000</v>
      </c>
      <c r="T8" s="26"/>
      <c r="U8" s="25" t="s">
        <v>33</v>
      </c>
      <c r="V8" s="1"/>
      <c r="W8" s="1"/>
      <c r="X8" s="1"/>
      <c r="Y8" s="1"/>
      <c r="Z8" s="1"/>
      <c r="AA8" s="1"/>
    </row>
    <row r="9" spans="1:27" ht="13.8">
      <c r="A9" s="16">
        <v>201</v>
      </c>
      <c r="B9" s="17" t="s">
        <v>34</v>
      </c>
      <c r="C9" s="18">
        <v>777144254</v>
      </c>
      <c r="D9" s="19" t="s">
        <v>35</v>
      </c>
      <c r="E9" s="18">
        <v>5100000</v>
      </c>
      <c r="F9" s="18">
        <v>4600000</v>
      </c>
      <c r="G9" s="19">
        <v>2</v>
      </c>
      <c r="H9" s="20">
        <v>3423</v>
      </c>
      <c r="I9" s="20">
        <v>3570</v>
      </c>
      <c r="J9" s="19">
        <v>4</v>
      </c>
      <c r="K9" s="21">
        <v>588000</v>
      </c>
      <c r="L9" s="21">
        <v>100000</v>
      </c>
      <c r="M9" s="21">
        <v>200000</v>
      </c>
      <c r="N9" s="22"/>
      <c r="O9" s="18">
        <v>100000</v>
      </c>
      <c r="P9" s="18">
        <v>200000</v>
      </c>
      <c r="Q9" s="21">
        <v>5688000</v>
      </c>
      <c r="R9" s="23"/>
      <c r="S9" s="24">
        <f t="shared" si="0"/>
        <v>5688000</v>
      </c>
      <c r="T9" s="24"/>
      <c r="U9" s="25" t="s">
        <v>33</v>
      </c>
      <c r="V9" s="1"/>
      <c r="W9" s="1"/>
      <c r="X9" s="1"/>
      <c r="Y9" s="1"/>
      <c r="Z9" s="1"/>
      <c r="AA9" s="1"/>
    </row>
    <row r="10" spans="1:27" ht="13.8">
      <c r="A10" s="16">
        <v>202</v>
      </c>
      <c r="B10" s="17" t="s">
        <v>36</v>
      </c>
      <c r="C10" s="27"/>
      <c r="D10" s="19" t="s">
        <v>37</v>
      </c>
      <c r="E10" s="18">
        <v>5500000</v>
      </c>
      <c r="F10" s="18">
        <v>5000000</v>
      </c>
      <c r="G10" s="19">
        <v>3</v>
      </c>
      <c r="H10" s="20">
        <v>1472</v>
      </c>
      <c r="I10" s="20">
        <v>1601</v>
      </c>
      <c r="J10" s="19">
        <v>4</v>
      </c>
      <c r="K10" s="21">
        <v>516000</v>
      </c>
      <c r="L10" s="21">
        <v>100000</v>
      </c>
      <c r="M10" s="21">
        <v>300000</v>
      </c>
      <c r="N10" s="22"/>
      <c r="O10" s="18">
        <v>300000</v>
      </c>
      <c r="P10" s="18">
        <v>200000</v>
      </c>
      <c r="Q10" s="21">
        <v>6316000</v>
      </c>
      <c r="R10" s="23"/>
      <c r="S10" s="24">
        <f t="shared" si="0"/>
        <v>6316000</v>
      </c>
      <c r="T10" s="24"/>
      <c r="U10" s="25" t="s">
        <v>30</v>
      </c>
      <c r="V10" s="1"/>
      <c r="W10" s="1"/>
      <c r="X10" s="1"/>
      <c r="Y10" s="1"/>
      <c r="Z10" s="1"/>
      <c r="AA10" s="1"/>
    </row>
    <row r="11" spans="1:27" ht="13.8">
      <c r="A11" s="13"/>
      <c r="B11" s="28"/>
      <c r="C11" s="13"/>
      <c r="D11" s="29"/>
      <c r="E11" s="13"/>
      <c r="F11" s="13"/>
      <c r="G11" s="30"/>
      <c r="H11" s="23"/>
      <c r="I11" s="23"/>
      <c r="J11" s="13"/>
      <c r="K11" s="23"/>
      <c r="L11" s="23"/>
      <c r="M11" s="11">
        <f>G11*L11</f>
        <v>0</v>
      </c>
      <c r="N11" s="13"/>
      <c r="O11" s="13"/>
      <c r="P11" s="23"/>
      <c r="Q11" s="23"/>
      <c r="R11" s="23"/>
      <c r="S11" s="13"/>
      <c r="T11" s="31"/>
      <c r="U11" s="15"/>
      <c r="V11" s="1"/>
      <c r="W11" s="1"/>
      <c r="X11" s="1"/>
      <c r="Y11" s="1"/>
      <c r="Z11" s="1"/>
      <c r="AA11" s="1"/>
    </row>
    <row r="12" spans="1:27" ht="15.6">
      <c r="A12" s="32"/>
      <c r="B12" s="33" t="s">
        <v>38</v>
      </c>
      <c r="C12" s="33"/>
      <c r="D12" s="34"/>
      <c r="E12" s="35">
        <f t="shared" ref="E12:F12" si="1">SUM(E6:E10)</f>
        <v>24000000</v>
      </c>
      <c r="F12" s="35">
        <f t="shared" si="1"/>
        <v>21500000</v>
      </c>
      <c r="G12" s="36">
        <f>SUM(G5:G11)</f>
        <v>11</v>
      </c>
      <c r="H12" s="35"/>
      <c r="I12" s="35"/>
      <c r="J12" s="35"/>
      <c r="K12" s="35">
        <f>SUM(K5:K10)</f>
        <v>3732000</v>
      </c>
      <c r="L12" s="35"/>
      <c r="M12" s="35">
        <f t="shared" ref="M12:P12" si="2">SUM(M5:M11)</f>
        <v>1100000</v>
      </c>
      <c r="N12" s="32">
        <f t="shared" si="2"/>
        <v>0</v>
      </c>
      <c r="O12" s="32">
        <f t="shared" si="2"/>
        <v>700000</v>
      </c>
      <c r="P12" s="35">
        <f t="shared" si="2"/>
        <v>1000000</v>
      </c>
      <c r="Q12" s="35">
        <f t="shared" ref="Q12:S12" si="3">SUM(Q5:Q10)</f>
        <v>28032000</v>
      </c>
      <c r="R12" s="35">
        <f t="shared" si="3"/>
        <v>0</v>
      </c>
      <c r="S12" s="32">
        <f t="shared" si="3"/>
        <v>28032000</v>
      </c>
      <c r="T12" s="32"/>
      <c r="U12" s="32"/>
      <c r="V12" s="37"/>
      <c r="W12" s="37"/>
      <c r="X12" s="37"/>
      <c r="Y12" s="37"/>
      <c r="Z12" s="37"/>
      <c r="AA12" s="37"/>
    </row>
    <row r="13" spans="1:27" ht="13.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165" t="s">
        <v>39</v>
      </c>
      <c r="B14" s="166"/>
      <c r="C14" s="166"/>
      <c r="D14" s="166"/>
      <c r="E14" s="16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68" t="str">
        <f>A1</f>
        <v>K8: 58 BÙI ĐIỀN, QUẬN 8</v>
      </c>
      <c r="B15" s="169"/>
      <c r="C15" s="169"/>
      <c r="D15" s="169"/>
      <c r="E15" s="17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71" t="s">
        <v>40</v>
      </c>
      <c r="B16" s="38" t="s">
        <v>41</v>
      </c>
      <c r="C16" s="38" t="s">
        <v>42</v>
      </c>
      <c r="D16" s="38" t="s">
        <v>43</v>
      </c>
      <c r="E16" s="38" t="s">
        <v>44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41.4">
      <c r="A17" s="172"/>
      <c r="B17" s="39" t="s">
        <v>45</v>
      </c>
      <c r="C17" s="24">
        <f>F12</f>
        <v>21500000</v>
      </c>
      <c r="D17" s="24">
        <v>15000000</v>
      </c>
      <c r="E17" s="24">
        <f t="shared" ref="E17:E25" si="4">C17-D17</f>
        <v>6500000</v>
      </c>
      <c r="F17" s="40" t="s">
        <v>46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41.4">
      <c r="A18" s="172"/>
      <c r="B18" s="39" t="s">
        <v>47</v>
      </c>
      <c r="C18" s="24">
        <f>K12</f>
        <v>3732000</v>
      </c>
      <c r="D18" s="26">
        <v>3451118</v>
      </c>
      <c r="E18" s="24">
        <f t="shared" si="4"/>
        <v>280882</v>
      </c>
      <c r="F18" s="41" t="s">
        <v>48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1.4">
      <c r="A19" s="172"/>
      <c r="B19" s="39" t="s">
        <v>49</v>
      </c>
      <c r="C19" s="24">
        <f>M12</f>
        <v>1100000</v>
      </c>
      <c r="D19" s="42">
        <v>548226</v>
      </c>
      <c r="E19" s="24">
        <f t="shared" si="4"/>
        <v>551774</v>
      </c>
      <c r="F19" s="43" t="s">
        <v>50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7.6">
      <c r="A20" s="172"/>
      <c r="B20" s="39" t="s">
        <v>51</v>
      </c>
      <c r="C20" s="24">
        <f>N12</f>
        <v>0</v>
      </c>
      <c r="D20" s="26">
        <v>299000</v>
      </c>
      <c r="E20" s="24">
        <f t="shared" si="4"/>
        <v>-299000</v>
      </c>
      <c r="F20" s="41" t="s">
        <v>50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72"/>
      <c r="B21" s="24" t="s">
        <v>52</v>
      </c>
      <c r="C21" s="24">
        <f>O12</f>
        <v>700000</v>
      </c>
      <c r="D21" s="26"/>
      <c r="E21" s="24">
        <f t="shared" si="4"/>
        <v>700000</v>
      </c>
      <c r="F21" s="4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72"/>
      <c r="B22" s="24" t="s">
        <v>53</v>
      </c>
      <c r="C22" s="44">
        <f>T11</f>
        <v>0</v>
      </c>
      <c r="D22" s="26"/>
      <c r="E22" s="24">
        <f t="shared" si="4"/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72"/>
      <c r="B23" s="45" t="s">
        <v>54</v>
      </c>
      <c r="C23" s="46">
        <v>0</v>
      </c>
      <c r="D23" s="47">
        <v>1000000</v>
      </c>
      <c r="E23" s="47">
        <f t="shared" si="4"/>
        <v>-1000000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72"/>
      <c r="B24" s="45" t="s">
        <v>55</v>
      </c>
      <c r="C24" s="47">
        <f>P12</f>
        <v>1000000</v>
      </c>
      <c r="D24" s="46">
        <v>500000</v>
      </c>
      <c r="E24" s="47">
        <f t="shared" si="4"/>
        <v>500000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72"/>
      <c r="B25" s="45" t="s">
        <v>56</v>
      </c>
      <c r="C25" s="46">
        <v>0</v>
      </c>
      <c r="D25" s="46">
        <v>500000</v>
      </c>
      <c r="E25" s="47">
        <f t="shared" si="4"/>
        <v>-500000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61"/>
      <c r="B26" s="48" t="s">
        <v>57</v>
      </c>
      <c r="C26" s="48">
        <f t="shared" ref="C26:E26" si="5">SUM(C17:C25)</f>
        <v>28032000</v>
      </c>
      <c r="D26" s="48">
        <f t="shared" si="5"/>
        <v>21298344</v>
      </c>
      <c r="E26" s="48">
        <f t="shared" si="5"/>
        <v>6733656</v>
      </c>
      <c r="F26" s="49">
        <f>E26/C26</f>
        <v>0.24021318493150684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outlineLevel="1">
      <c r="A28" s="173" t="s">
        <v>58</v>
      </c>
      <c r="B28" s="174"/>
      <c r="C28" s="174"/>
      <c r="D28" s="174"/>
      <c r="E28" s="50">
        <v>90000000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outlineLevel="1">
      <c r="A29" s="51"/>
      <c r="B29" s="51"/>
      <c r="C29" s="51"/>
      <c r="D29" s="51"/>
      <c r="E29" s="52">
        <f>E26/E28</f>
        <v>7.4818399999999993E-2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/>
      <c r="B31" s="1"/>
      <c r="C31" s="1"/>
      <c r="D31" s="1"/>
      <c r="E31" s="53">
        <f>D23+D24+D25</f>
        <v>2000000</v>
      </c>
      <c r="F31" s="54" t="s">
        <v>59</v>
      </c>
      <c r="G31" s="1"/>
      <c r="H31" s="1"/>
      <c r="I31" s="1"/>
      <c r="J31" s="1"/>
      <c r="K31" s="55"/>
      <c r="L31" s="55"/>
      <c r="M31" s="55"/>
      <c r="N31" s="55"/>
      <c r="O31" s="55"/>
      <c r="P31" s="5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</sheetData>
  <mergeCells count="22">
    <mergeCell ref="Q3:Q4"/>
    <mergeCell ref="R3:R4"/>
    <mergeCell ref="S3:S4"/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A28:D28"/>
    <mergeCell ref="L3:M3"/>
    <mergeCell ref="N3:N4"/>
    <mergeCell ref="O3:O4"/>
    <mergeCell ref="P3:P4"/>
    <mergeCell ref="G3:G4"/>
    <mergeCell ref="H3:K3"/>
    <mergeCell ref="A14:E14"/>
    <mergeCell ref="A15:E15"/>
    <mergeCell ref="A16:A26"/>
  </mergeCells>
  <conditionalFormatting sqref="U12">
    <cfRule type="notContainsBlanks" dxfId="2" priority="1">
      <formula>LEN(TRIM(U12))&gt;0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83"/>
  <sheetViews>
    <sheetView workbookViewId="0"/>
  </sheetViews>
  <sheetFormatPr defaultColWidth="12.59765625" defaultRowHeight="15" customHeight="1" outlineLevelRow="1"/>
  <cols>
    <col min="1" max="1" width="7.8984375" customWidth="1"/>
    <col min="2" max="2" width="25.09765625" customWidth="1"/>
    <col min="3" max="3" width="14.19921875" customWidth="1"/>
    <col min="4" max="4" width="15.5" customWidth="1"/>
    <col min="5" max="5" width="12.5" customWidth="1"/>
    <col min="6" max="6" width="16.59765625" customWidth="1"/>
    <col min="7" max="7" width="8.69921875" customWidth="1"/>
    <col min="8" max="8" width="7.5" customWidth="1"/>
    <col min="9" max="9" width="8.59765625" customWidth="1"/>
    <col min="10" max="10" width="15.19921875" customWidth="1"/>
    <col min="11" max="11" width="13.59765625" customWidth="1"/>
    <col min="12" max="12" width="12.59765625" customWidth="1"/>
    <col min="13" max="13" width="13.59765625" customWidth="1"/>
    <col min="14" max="14" width="6.19921875" customWidth="1"/>
    <col min="15" max="15" width="8.69921875" customWidth="1"/>
    <col min="16" max="16" width="9.69921875" customWidth="1"/>
    <col min="17" max="17" width="11.69921875" customWidth="1"/>
    <col min="18" max="18" width="9.19921875" customWidth="1"/>
    <col min="19" max="19" width="11.69921875" customWidth="1"/>
    <col min="20" max="20" width="12.3984375" customWidth="1"/>
    <col min="21" max="21" width="19.8984375" customWidth="1"/>
    <col min="22" max="27" width="7.59765625" customWidth="1"/>
  </cols>
  <sheetData>
    <row r="1" spans="1:27" ht="13.8">
      <c r="A1" s="17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7"/>
      <c r="V1" s="1"/>
      <c r="W1" s="1"/>
      <c r="X1" s="1"/>
      <c r="Y1" s="1"/>
      <c r="Z1" s="1"/>
      <c r="AA1" s="1"/>
    </row>
    <row r="2" spans="1:27" ht="13.8">
      <c r="A2" s="176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70"/>
      <c r="V2" s="1"/>
      <c r="W2" s="1"/>
      <c r="X2" s="1"/>
      <c r="Y2" s="1"/>
      <c r="Z2" s="1"/>
      <c r="AA2" s="1"/>
    </row>
    <row r="3" spans="1:27" ht="13.8">
      <c r="A3" s="160" t="s">
        <v>1</v>
      </c>
      <c r="B3" s="160" t="s">
        <v>2</v>
      </c>
      <c r="C3" s="160" t="s">
        <v>3</v>
      </c>
      <c r="D3" s="160" t="s">
        <v>4</v>
      </c>
      <c r="E3" s="160" t="s">
        <v>5</v>
      </c>
      <c r="F3" s="160" t="s">
        <v>6</v>
      </c>
      <c r="G3" s="160" t="s">
        <v>7</v>
      </c>
      <c r="H3" s="162" t="s">
        <v>8</v>
      </c>
      <c r="I3" s="163"/>
      <c r="J3" s="163"/>
      <c r="K3" s="164"/>
      <c r="L3" s="162" t="s">
        <v>9</v>
      </c>
      <c r="M3" s="164"/>
      <c r="N3" s="160" t="s">
        <v>10</v>
      </c>
      <c r="O3" s="160" t="s">
        <v>11</v>
      </c>
      <c r="P3" s="160" t="s">
        <v>12</v>
      </c>
      <c r="Q3" s="160" t="s">
        <v>13</v>
      </c>
      <c r="R3" s="160" t="s">
        <v>14</v>
      </c>
      <c r="S3" s="160" t="s">
        <v>15</v>
      </c>
      <c r="T3" s="160" t="s">
        <v>16</v>
      </c>
      <c r="U3" s="160" t="s">
        <v>17</v>
      </c>
      <c r="V3" s="2"/>
      <c r="W3" s="2"/>
      <c r="X3" s="2"/>
      <c r="Y3" s="2"/>
      <c r="Z3" s="2"/>
      <c r="AA3" s="2"/>
    </row>
    <row r="4" spans="1:27" ht="13.8">
      <c r="A4" s="161"/>
      <c r="B4" s="161"/>
      <c r="C4" s="161"/>
      <c r="D4" s="161"/>
      <c r="E4" s="161"/>
      <c r="F4" s="161"/>
      <c r="G4" s="161"/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21</v>
      </c>
      <c r="N4" s="161"/>
      <c r="O4" s="161"/>
      <c r="P4" s="161"/>
      <c r="Q4" s="161"/>
      <c r="R4" s="161"/>
      <c r="S4" s="161"/>
      <c r="T4" s="161"/>
      <c r="U4" s="161"/>
      <c r="V4" s="2"/>
      <c r="W4" s="2"/>
      <c r="X4" s="2"/>
      <c r="Y4" s="2"/>
      <c r="Z4" s="2"/>
      <c r="AA4" s="2"/>
    </row>
    <row r="5" spans="1:27" ht="13.8">
      <c r="A5" s="4" t="s">
        <v>23</v>
      </c>
      <c r="B5" s="5"/>
      <c r="C5" s="6"/>
      <c r="D5" s="7"/>
      <c r="E5" s="8"/>
      <c r="F5" s="9"/>
      <c r="G5" s="10"/>
      <c r="H5" s="11"/>
      <c r="I5" s="11"/>
      <c r="J5" s="11"/>
      <c r="K5" s="11">
        <f t="shared" ref="K5:K10" si="0">(I5-H5)*J5</f>
        <v>0</v>
      </c>
      <c r="L5" s="11"/>
      <c r="M5" s="11">
        <f>L5*G5</f>
        <v>0</v>
      </c>
      <c r="N5" s="11"/>
      <c r="O5" s="11"/>
      <c r="P5" s="11"/>
      <c r="Q5" s="11"/>
      <c r="R5" s="12"/>
      <c r="S5" s="13"/>
      <c r="T5" s="14">
        <f t="shared" ref="T5:T7" si="1">S5</f>
        <v>0</v>
      </c>
      <c r="U5" s="15"/>
      <c r="V5" s="1"/>
      <c r="W5" s="1"/>
      <c r="X5" s="1"/>
      <c r="Y5" s="1"/>
      <c r="Z5" s="1"/>
      <c r="AA5" s="1"/>
    </row>
    <row r="6" spans="1:27" ht="13.8">
      <c r="A6" s="4" t="s">
        <v>24</v>
      </c>
      <c r="B6" s="56" t="s">
        <v>25</v>
      </c>
      <c r="C6" s="57">
        <v>377847484</v>
      </c>
      <c r="D6" s="58" t="s">
        <v>26</v>
      </c>
      <c r="E6" s="59">
        <v>4000000</v>
      </c>
      <c r="F6" s="59">
        <v>3500000</v>
      </c>
      <c r="G6" s="60">
        <v>1</v>
      </c>
      <c r="H6" s="8">
        <v>3858</v>
      </c>
      <c r="I6" s="8">
        <v>4082</v>
      </c>
      <c r="J6" s="23">
        <v>4000</v>
      </c>
      <c r="K6" s="6">
        <f t="shared" si="0"/>
        <v>896000</v>
      </c>
      <c r="L6" s="11">
        <v>100000</v>
      </c>
      <c r="M6" s="11">
        <f t="shared" ref="M6:M11" si="2">G6*L6</f>
        <v>100000</v>
      </c>
      <c r="N6" s="13"/>
      <c r="O6" s="59">
        <v>100000</v>
      </c>
      <c r="P6" s="23">
        <v>200000</v>
      </c>
      <c r="Q6" s="11">
        <f t="shared" ref="Q6:Q10" si="3">F6+K6+M6+O6+P6</f>
        <v>4796000</v>
      </c>
      <c r="R6" s="23"/>
      <c r="S6" s="24">
        <f t="shared" ref="S6:S10" si="4">Q6-R6</f>
        <v>4796000</v>
      </c>
      <c r="T6" s="24">
        <f t="shared" si="1"/>
        <v>4796000</v>
      </c>
      <c r="U6" s="61" t="s">
        <v>60</v>
      </c>
      <c r="V6" s="1"/>
      <c r="W6" s="1"/>
      <c r="X6" s="1"/>
      <c r="Y6" s="1"/>
      <c r="Z6" s="1"/>
      <c r="AA6" s="1"/>
    </row>
    <row r="7" spans="1:27" ht="13.8">
      <c r="A7" s="4">
        <v>101</v>
      </c>
      <c r="B7" s="56" t="s">
        <v>28</v>
      </c>
      <c r="C7" s="62">
        <v>901331416</v>
      </c>
      <c r="D7" s="58" t="s">
        <v>29</v>
      </c>
      <c r="E7" s="63">
        <v>4800000</v>
      </c>
      <c r="F7" s="63">
        <v>4300000</v>
      </c>
      <c r="G7" s="60">
        <v>3</v>
      </c>
      <c r="H7" s="8">
        <v>1582</v>
      </c>
      <c r="I7" s="8">
        <v>1774</v>
      </c>
      <c r="J7" s="13">
        <v>4000</v>
      </c>
      <c r="K7" s="6">
        <f t="shared" si="0"/>
        <v>768000</v>
      </c>
      <c r="L7" s="11">
        <v>100000</v>
      </c>
      <c r="M7" s="11">
        <f t="shared" si="2"/>
        <v>300000</v>
      </c>
      <c r="N7" s="13"/>
      <c r="O7" s="63">
        <v>100000</v>
      </c>
      <c r="P7" s="23">
        <v>200000</v>
      </c>
      <c r="Q7" s="11">
        <f t="shared" si="3"/>
        <v>5668000</v>
      </c>
      <c r="R7" s="23"/>
      <c r="S7" s="24">
        <f t="shared" si="4"/>
        <v>5668000</v>
      </c>
      <c r="T7" s="24">
        <f t="shared" si="1"/>
        <v>5668000</v>
      </c>
      <c r="U7" s="61" t="s">
        <v>61</v>
      </c>
      <c r="V7" s="1"/>
      <c r="W7" s="1"/>
      <c r="X7" s="1"/>
      <c r="Y7" s="1"/>
      <c r="Z7" s="1"/>
      <c r="AA7" s="1"/>
    </row>
    <row r="8" spans="1:27" ht="13.8">
      <c r="A8" s="4">
        <v>102</v>
      </c>
      <c r="B8" s="56" t="s">
        <v>31</v>
      </c>
      <c r="C8" s="57">
        <v>707677050</v>
      </c>
      <c r="D8" s="58" t="s">
        <v>32</v>
      </c>
      <c r="E8" s="63">
        <v>4600000</v>
      </c>
      <c r="F8" s="63">
        <v>4100000</v>
      </c>
      <c r="G8" s="60">
        <v>2</v>
      </c>
      <c r="H8" s="8">
        <v>4331</v>
      </c>
      <c r="I8" s="8">
        <v>4775</v>
      </c>
      <c r="J8" s="13">
        <v>4000</v>
      </c>
      <c r="K8" s="6">
        <f t="shared" si="0"/>
        <v>1776000</v>
      </c>
      <c r="L8" s="11">
        <v>100000</v>
      </c>
      <c r="M8" s="11">
        <f t="shared" si="2"/>
        <v>200000</v>
      </c>
      <c r="N8" s="13"/>
      <c r="O8" s="63">
        <v>100000</v>
      </c>
      <c r="P8" s="23">
        <v>200000</v>
      </c>
      <c r="Q8" s="11">
        <f t="shared" si="3"/>
        <v>6376000</v>
      </c>
      <c r="R8" s="23"/>
      <c r="S8" s="24">
        <f t="shared" si="4"/>
        <v>6376000</v>
      </c>
      <c r="T8" s="26">
        <f>S8-280000</f>
        <v>6096000</v>
      </c>
      <c r="U8" s="61" t="s">
        <v>62</v>
      </c>
      <c r="V8" s="1"/>
      <c r="W8" s="1"/>
      <c r="X8" s="1"/>
      <c r="Y8" s="1"/>
      <c r="Z8" s="1"/>
      <c r="AA8" s="1"/>
    </row>
    <row r="9" spans="1:27" ht="13.8">
      <c r="A9" s="4">
        <v>201</v>
      </c>
      <c r="B9" s="56" t="s">
        <v>34</v>
      </c>
      <c r="C9" s="57">
        <v>777144254</v>
      </c>
      <c r="D9" s="58" t="s">
        <v>35</v>
      </c>
      <c r="E9" s="63">
        <v>5100000</v>
      </c>
      <c r="F9" s="63">
        <v>4600000</v>
      </c>
      <c r="G9" s="60">
        <v>2</v>
      </c>
      <c r="H9" s="8">
        <v>3285</v>
      </c>
      <c r="I9" s="8">
        <v>3423</v>
      </c>
      <c r="J9" s="13">
        <v>4000</v>
      </c>
      <c r="K9" s="6">
        <f t="shared" si="0"/>
        <v>552000</v>
      </c>
      <c r="L9" s="11">
        <v>100000</v>
      </c>
      <c r="M9" s="11">
        <f t="shared" si="2"/>
        <v>200000</v>
      </c>
      <c r="N9" s="13"/>
      <c r="O9" s="63">
        <v>100000</v>
      </c>
      <c r="P9" s="23">
        <v>200000</v>
      </c>
      <c r="Q9" s="11">
        <f t="shared" si="3"/>
        <v>5652000</v>
      </c>
      <c r="R9" s="23"/>
      <c r="S9" s="24">
        <f t="shared" si="4"/>
        <v>5652000</v>
      </c>
      <c r="T9" s="24">
        <f t="shared" ref="T9:T10" si="5">S9</f>
        <v>5652000</v>
      </c>
      <c r="U9" s="61" t="s">
        <v>61</v>
      </c>
      <c r="V9" s="1"/>
      <c r="W9" s="1"/>
      <c r="X9" s="1"/>
      <c r="Y9" s="1"/>
      <c r="Z9" s="1"/>
      <c r="AA9" s="1"/>
    </row>
    <row r="10" spans="1:27" ht="13.8">
      <c r="A10" s="4">
        <v>202</v>
      </c>
      <c r="B10" s="56" t="s">
        <v>36</v>
      </c>
      <c r="C10" s="64"/>
      <c r="D10" s="58" t="s">
        <v>37</v>
      </c>
      <c r="E10" s="63">
        <v>5500000</v>
      </c>
      <c r="F10" s="63">
        <v>5000000</v>
      </c>
      <c r="G10" s="60">
        <v>3</v>
      </c>
      <c r="H10" s="8">
        <v>1428</v>
      </c>
      <c r="I10" s="8">
        <v>1472</v>
      </c>
      <c r="J10" s="13">
        <v>4000</v>
      </c>
      <c r="K10" s="6">
        <f t="shared" si="0"/>
        <v>176000</v>
      </c>
      <c r="L10" s="11">
        <v>100000</v>
      </c>
      <c r="M10" s="11">
        <f t="shared" si="2"/>
        <v>300000</v>
      </c>
      <c r="N10" s="13"/>
      <c r="O10" s="63">
        <v>300000</v>
      </c>
      <c r="P10" s="23">
        <v>200000</v>
      </c>
      <c r="Q10" s="11">
        <f t="shared" si="3"/>
        <v>5976000</v>
      </c>
      <c r="R10" s="23"/>
      <c r="S10" s="65">
        <f t="shared" si="4"/>
        <v>5976000</v>
      </c>
      <c r="T10" s="65">
        <f t="shared" si="5"/>
        <v>5976000</v>
      </c>
      <c r="U10" s="66" t="s">
        <v>63</v>
      </c>
      <c r="V10" s="1"/>
      <c r="W10" s="1"/>
      <c r="X10" s="1"/>
      <c r="Y10" s="1"/>
      <c r="Z10" s="1"/>
      <c r="AA10" s="1"/>
    </row>
    <row r="11" spans="1:27" ht="13.8">
      <c r="A11" s="13"/>
      <c r="B11" s="28"/>
      <c r="C11" s="13"/>
      <c r="D11" s="29"/>
      <c r="E11" s="13"/>
      <c r="F11" s="13"/>
      <c r="G11" s="30"/>
      <c r="H11" s="23"/>
      <c r="I11" s="23"/>
      <c r="J11" s="13"/>
      <c r="K11" s="23"/>
      <c r="L11" s="23"/>
      <c r="M11" s="11">
        <f t="shared" si="2"/>
        <v>0</v>
      </c>
      <c r="N11" s="13"/>
      <c r="O11" s="13"/>
      <c r="P11" s="23"/>
      <c r="Q11" s="23"/>
      <c r="R11" s="23"/>
      <c r="S11" s="13"/>
      <c r="T11" s="31"/>
      <c r="U11" s="15"/>
      <c r="V11" s="1"/>
      <c r="W11" s="1"/>
      <c r="X11" s="1"/>
      <c r="Y11" s="1"/>
      <c r="Z11" s="1"/>
      <c r="AA11" s="1"/>
    </row>
    <row r="12" spans="1:27" ht="15.6">
      <c r="A12" s="32"/>
      <c r="B12" s="33" t="s">
        <v>38</v>
      </c>
      <c r="C12" s="33"/>
      <c r="D12" s="34"/>
      <c r="E12" s="35">
        <f t="shared" ref="E12:F12" si="6">SUM(E6:E10)</f>
        <v>24000000</v>
      </c>
      <c r="F12" s="35">
        <f t="shared" si="6"/>
        <v>21500000</v>
      </c>
      <c r="G12" s="36">
        <f>SUM(G5:G11)</f>
        <v>11</v>
      </c>
      <c r="H12" s="35"/>
      <c r="I12" s="35"/>
      <c r="J12" s="35"/>
      <c r="K12" s="35">
        <f>SUM(K5:K10)</f>
        <v>4168000</v>
      </c>
      <c r="L12" s="35"/>
      <c r="M12" s="35">
        <f t="shared" ref="M12:P12" si="7">SUM(M5:M11)</f>
        <v>1100000</v>
      </c>
      <c r="N12" s="32">
        <f t="shared" si="7"/>
        <v>0</v>
      </c>
      <c r="O12" s="32">
        <f t="shared" si="7"/>
        <v>700000</v>
      </c>
      <c r="P12" s="35">
        <f t="shared" si="7"/>
        <v>1000000</v>
      </c>
      <c r="Q12" s="35">
        <f t="shared" ref="Q12:S12" si="8">SUM(Q5:Q10)</f>
        <v>28468000</v>
      </c>
      <c r="R12" s="35">
        <f t="shared" si="8"/>
        <v>0</v>
      </c>
      <c r="S12" s="32">
        <f t="shared" si="8"/>
        <v>28468000</v>
      </c>
      <c r="T12" s="32"/>
      <c r="U12" s="32"/>
      <c r="V12" s="37"/>
      <c r="W12" s="37"/>
      <c r="X12" s="37"/>
      <c r="Y12" s="37"/>
      <c r="Z12" s="37"/>
      <c r="AA12" s="37"/>
    </row>
    <row r="13" spans="1:27" ht="13.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165" t="s">
        <v>39</v>
      </c>
      <c r="B14" s="166"/>
      <c r="C14" s="166"/>
      <c r="D14" s="166"/>
      <c r="E14" s="16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68" t="str">
        <f>A1</f>
        <v>K8: 58 BÙI ĐIỀN, QUẬN 8</v>
      </c>
      <c r="B15" s="169"/>
      <c r="C15" s="169"/>
      <c r="D15" s="169"/>
      <c r="E15" s="17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71" t="s">
        <v>40</v>
      </c>
      <c r="B16" s="38" t="s">
        <v>41</v>
      </c>
      <c r="C16" s="38" t="s">
        <v>42</v>
      </c>
      <c r="D16" s="38" t="s">
        <v>43</v>
      </c>
      <c r="E16" s="38" t="s">
        <v>44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72"/>
      <c r="B17" s="39" t="s">
        <v>64</v>
      </c>
      <c r="C17" s="24">
        <f>F12</f>
        <v>21500000</v>
      </c>
      <c r="D17" s="24">
        <v>15000000</v>
      </c>
      <c r="E17" s="24">
        <f t="shared" ref="E17:E25" si="9">C17-D17</f>
        <v>6500000</v>
      </c>
      <c r="F17" s="40" t="s">
        <v>65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172"/>
      <c r="B18" s="39" t="s">
        <v>47</v>
      </c>
      <c r="C18" s="24">
        <f>K12</f>
        <v>4168000</v>
      </c>
      <c r="D18" s="26">
        <v>3593117</v>
      </c>
      <c r="E18" s="24">
        <f t="shared" si="9"/>
        <v>574883</v>
      </c>
      <c r="F18" s="40" t="s">
        <v>66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72"/>
      <c r="B19" s="39" t="s">
        <v>49</v>
      </c>
      <c r="C19" s="24">
        <f>M12</f>
        <v>1100000</v>
      </c>
      <c r="D19" s="26">
        <v>495052</v>
      </c>
      <c r="E19" s="24">
        <f t="shared" si="9"/>
        <v>604948</v>
      </c>
      <c r="F19" s="40" t="s">
        <v>66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72"/>
      <c r="B20" s="39" t="s">
        <v>51</v>
      </c>
      <c r="C20" s="24">
        <f>N12</f>
        <v>0</v>
      </c>
      <c r="D20" s="26">
        <v>299000</v>
      </c>
      <c r="E20" s="24">
        <f t="shared" si="9"/>
        <v>-299000</v>
      </c>
      <c r="F20" s="40" t="s">
        <v>66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72"/>
      <c r="B21" s="24" t="s">
        <v>52</v>
      </c>
      <c r="C21" s="24">
        <f>O12</f>
        <v>700000</v>
      </c>
      <c r="D21" s="26"/>
      <c r="E21" s="24">
        <f t="shared" si="9"/>
        <v>700000</v>
      </c>
      <c r="F21" s="6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72"/>
      <c r="B22" s="24" t="s">
        <v>53</v>
      </c>
      <c r="C22" s="44">
        <f>T11</f>
        <v>0</v>
      </c>
      <c r="D22" s="26"/>
      <c r="E22" s="24">
        <f t="shared" si="9"/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72"/>
      <c r="B23" s="45" t="s">
        <v>54</v>
      </c>
      <c r="C23" s="46">
        <v>0</v>
      </c>
      <c r="D23" s="47">
        <v>1000000</v>
      </c>
      <c r="E23" s="47">
        <f t="shared" si="9"/>
        <v>-1000000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72"/>
      <c r="B24" s="45" t="s">
        <v>55</v>
      </c>
      <c r="C24" s="47">
        <f>P12</f>
        <v>1000000</v>
      </c>
      <c r="D24" s="46">
        <v>500000</v>
      </c>
      <c r="E24" s="47">
        <f t="shared" si="9"/>
        <v>500000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72"/>
      <c r="B25" s="45" t="s">
        <v>56</v>
      </c>
      <c r="C25" s="46">
        <v>0</v>
      </c>
      <c r="D25" s="46">
        <v>500000</v>
      </c>
      <c r="E25" s="47">
        <f t="shared" si="9"/>
        <v>-500000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61"/>
      <c r="B26" s="48" t="s">
        <v>57</v>
      </c>
      <c r="C26" s="48">
        <f t="shared" ref="C26:E26" si="10">SUM(C17:C25)</f>
        <v>28468000</v>
      </c>
      <c r="D26" s="48">
        <f t="shared" si="10"/>
        <v>21387169</v>
      </c>
      <c r="E26" s="48">
        <f t="shared" si="10"/>
        <v>7080831</v>
      </c>
      <c r="F26" s="49">
        <f>E26/C26</f>
        <v>0.24872948573837292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outlineLevel="1">
      <c r="A28" s="173" t="s">
        <v>58</v>
      </c>
      <c r="B28" s="174"/>
      <c r="C28" s="174"/>
      <c r="D28" s="174"/>
      <c r="E28" s="50">
        <v>90000000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outlineLevel="1">
      <c r="A29" s="51"/>
      <c r="B29" s="51"/>
      <c r="C29" s="51"/>
      <c r="D29" s="51"/>
      <c r="E29" s="52">
        <f>E26/E28</f>
        <v>7.8675899999999993E-2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77" t="s">
        <v>67</v>
      </c>
      <c r="B31" s="177" t="s">
        <v>2</v>
      </c>
      <c r="C31" s="177" t="s">
        <v>3</v>
      </c>
      <c r="D31" s="177" t="s">
        <v>68</v>
      </c>
      <c r="E31" s="179" t="s">
        <v>5</v>
      </c>
      <c r="F31" s="177" t="s">
        <v>6</v>
      </c>
      <c r="G31" s="177" t="s">
        <v>7</v>
      </c>
      <c r="H31" s="178" t="s">
        <v>69</v>
      </c>
      <c r="I31" s="163"/>
      <c r="J31" s="163"/>
      <c r="K31" s="163"/>
      <c r="L31" s="180" t="s">
        <v>9</v>
      </c>
      <c r="M31" s="164"/>
      <c r="N31" s="181" t="s">
        <v>10</v>
      </c>
      <c r="O31" s="177" t="s">
        <v>11</v>
      </c>
      <c r="P31" s="177" t="s">
        <v>12</v>
      </c>
      <c r="Q31" s="177" t="s">
        <v>13</v>
      </c>
      <c r="R31" s="177" t="s">
        <v>14</v>
      </c>
      <c r="S31" s="177" t="s">
        <v>15</v>
      </c>
      <c r="T31" s="177" t="s">
        <v>17</v>
      </c>
      <c r="U31" s="68"/>
      <c r="V31" s="1"/>
      <c r="W31" s="1"/>
      <c r="X31" s="1"/>
      <c r="Y31" s="1"/>
      <c r="Z31" s="1"/>
      <c r="AA31" s="1"/>
    </row>
    <row r="32" spans="1:27" ht="15.75" customHeight="1">
      <c r="A32" s="161"/>
      <c r="B32" s="161"/>
      <c r="C32" s="161"/>
      <c r="D32" s="161"/>
      <c r="E32" s="161"/>
      <c r="F32" s="161"/>
      <c r="G32" s="161"/>
      <c r="H32" s="69" t="s">
        <v>18</v>
      </c>
      <c r="I32" s="69" t="s">
        <v>19</v>
      </c>
      <c r="J32" s="69" t="s">
        <v>20</v>
      </c>
      <c r="K32" s="70" t="s">
        <v>21</v>
      </c>
      <c r="L32" s="71" t="s">
        <v>22</v>
      </c>
      <c r="M32" s="69" t="s">
        <v>21</v>
      </c>
      <c r="N32" s="170"/>
      <c r="O32" s="161"/>
      <c r="P32" s="161"/>
      <c r="Q32" s="161"/>
      <c r="R32" s="161"/>
      <c r="S32" s="161"/>
      <c r="T32" s="161"/>
      <c r="U32" s="68"/>
      <c r="V32" s="1"/>
      <c r="W32" s="1"/>
      <c r="X32" s="1"/>
      <c r="Y32" s="1"/>
      <c r="Z32" s="1"/>
      <c r="AA32" s="1"/>
    </row>
    <row r="33" spans="1:27" ht="15.75" customHeight="1">
      <c r="A33" s="4" t="s">
        <v>23</v>
      </c>
      <c r="B33" s="5"/>
      <c r="C33" s="72"/>
      <c r="D33" s="72"/>
      <c r="E33" s="8" t="s">
        <v>70</v>
      </c>
      <c r="F33" s="9"/>
      <c r="G33" s="9"/>
      <c r="H33" s="9"/>
      <c r="I33" s="9"/>
      <c r="J33" s="8">
        <v>4</v>
      </c>
      <c r="K33" s="8" t="s">
        <v>71</v>
      </c>
      <c r="L33" s="8">
        <v>100</v>
      </c>
      <c r="M33" s="8" t="s">
        <v>71</v>
      </c>
      <c r="N33" s="9"/>
      <c r="O33" s="9"/>
      <c r="P33" s="9"/>
      <c r="Q33" s="8" t="s">
        <v>71</v>
      </c>
      <c r="R33" s="73"/>
      <c r="S33" s="8" t="s">
        <v>71</v>
      </c>
      <c r="T33" s="9"/>
      <c r="U33" s="1"/>
      <c r="V33" s="1"/>
      <c r="W33" s="1"/>
      <c r="X33" s="1"/>
      <c r="Y33" s="1"/>
      <c r="Z33" s="1"/>
      <c r="AA33" s="1"/>
    </row>
    <row r="34" spans="1:27" ht="15.75" customHeight="1">
      <c r="A34" s="4" t="s">
        <v>24</v>
      </c>
      <c r="B34" s="56" t="s">
        <v>25</v>
      </c>
      <c r="C34" s="57">
        <v>377847484</v>
      </c>
      <c r="D34" s="58" t="s">
        <v>26</v>
      </c>
      <c r="E34" s="60" t="s">
        <v>72</v>
      </c>
      <c r="F34" s="60" t="s">
        <v>70</v>
      </c>
      <c r="G34" s="60">
        <v>1</v>
      </c>
      <c r="H34" s="8">
        <v>4.0819999999999999</v>
      </c>
      <c r="I34" s="8">
        <v>4.2460000000000004</v>
      </c>
      <c r="J34" s="60">
        <v>4</v>
      </c>
      <c r="K34" s="74">
        <v>656</v>
      </c>
      <c r="L34" s="8">
        <v>100</v>
      </c>
      <c r="M34" s="8">
        <v>100</v>
      </c>
      <c r="N34" s="75"/>
      <c r="O34" s="60">
        <v>100</v>
      </c>
      <c r="P34" s="60">
        <v>200</v>
      </c>
      <c r="Q34" s="8" t="s">
        <v>73</v>
      </c>
      <c r="R34" s="76"/>
      <c r="S34" s="8" t="s">
        <v>73</v>
      </c>
      <c r="T34" s="9"/>
      <c r="U34" s="1"/>
      <c r="V34" s="1"/>
      <c r="W34" s="1"/>
      <c r="X34" s="1"/>
      <c r="Y34" s="1"/>
      <c r="Z34" s="1"/>
      <c r="AA34" s="1"/>
    </row>
    <row r="35" spans="1:27" ht="15.75" customHeight="1">
      <c r="A35" s="4">
        <v>101</v>
      </c>
      <c r="B35" s="56" t="s">
        <v>28</v>
      </c>
      <c r="C35" s="62">
        <v>901331416</v>
      </c>
      <c r="D35" s="58" t="s">
        <v>29</v>
      </c>
      <c r="E35" s="77" t="s">
        <v>74</v>
      </c>
      <c r="F35" s="77" t="s">
        <v>75</v>
      </c>
      <c r="G35" s="60">
        <v>3</v>
      </c>
      <c r="H35" s="8">
        <v>1.774</v>
      </c>
      <c r="I35" s="8">
        <v>1.958</v>
      </c>
      <c r="J35" s="77">
        <v>4</v>
      </c>
      <c r="K35" s="74">
        <v>736</v>
      </c>
      <c r="L35" s="8">
        <v>100</v>
      </c>
      <c r="M35" s="8">
        <v>300</v>
      </c>
      <c r="N35" s="75"/>
      <c r="O35" s="77">
        <v>100</v>
      </c>
      <c r="P35" s="77">
        <v>200</v>
      </c>
      <c r="Q35" s="8" t="s">
        <v>76</v>
      </c>
      <c r="R35" s="76"/>
      <c r="S35" s="8" t="s">
        <v>76</v>
      </c>
      <c r="T35" s="9"/>
      <c r="U35" s="1"/>
      <c r="V35" s="1"/>
      <c r="W35" s="1"/>
      <c r="X35" s="1"/>
      <c r="Y35" s="1"/>
      <c r="Z35" s="1"/>
      <c r="AA35" s="1"/>
    </row>
    <row r="36" spans="1:27" ht="15.75" customHeight="1">
      <c r="A36" s="4">
        <v>102</v>
      </c>
      <c r="B36" s="56" t="s">
        <v>31</v>
      </c>
      <c r="C36" s="57">
        <v>707677050</v>
      </c>
      <c r="D36" s="58" t="s">
        <v>32</v>
      </c>
      <c r="E36" s="77" t="s">
        <v>77</v>
      </c>
      <c r="F36" s="77" t="s">
        <v>78</v>
      </c>
      <c r="G36" s="60">
        <v>2</v>
      </c>
      <c r="H36" s="8">
        <v>4.7050000000000001</v>
      </c>
      <c r="I36" s="8">
        <v>5.0140000000000002</v>
      </c>
      <c r="J36" s="77">
        <v>4</v>
      </c>
      <c r="K36" s="74" t="s">
        <v>79</v>
      </c>
      <c r="L36" s="8">
        <v>100</v>
      </c>
      <c r="M36" s="8">
        <v>200</v>
      </c>
      <c r="N36" s="75"/>
      <c r="O36" s="77">
        <v>100</v>
      </c>
      <c r="P36" s="77">
        <v>200</v>
      </c>
      <c r="Q36" s="8" t="s">
        <v>80</v>
      </c>
      <c r="R36" s="76"/>
      <c r="S36" s="8" t="s">
        <v>80</v>
      </c>
      <c r="T36" s="9"/>
      <c r="U36" s="1"/>
      <c r="V36" s="1"/>
      <c r="W36" s="1"/>
      <c r="X36" s="1"/>
      <c r="Y36" s="1"/>
      <c r="Z36" s="1"/>
      <c r="AA36" s="1"/>
    </row>
    <row r="37" spans="1:27" ht="15.75" customHeight="1">
      <c r="A37" s="4">
        <v>201</v>
      </c>
      <c r="B37" s="56" t="s">
        <v>34</v>
      </c>
      <c r="C37" s="57">
        <v>777144254</v>
      </c>
      <c r="D37" s="58" t="s">
        <v>35</v>
      </c>
      <c r="E37" s="77" t="s">
        <v>81</v>
      </c>
      <c r="F37" s="77" t="s">
        <v>77</v>
      </c>
      <c r="G37" s="60">
        <v>2</v>
      </c>
      <c r="H37" s="8">
        <v>3.423</v>
      </c>
      <c r="I37" s="8">
        <v>3.57</v>
      </c>
      <c r="J37" s="77">
        <v>4</v>
      </c>
      <c r="K37" s="74">
        <v>588</v>
      </c>
      <c r="L37" s="8">
        <v>100</v>
      </c>
      <c r="M37" s="8">
        <v>200</v>
      </c>
      <c r="N37" s="75"/>
      <c r="O37" s="77">
        <v>100</v>
      </c>
      <c r="P37" s="77">
        <v>200</v>
      </c>
      <c r="Q37" s="8" t="s">
        <v>82</v>
      </c>
      <c r="R37" s="76"/>
      <c r="S37" s="8" t="s">
        <v>82</v>
      </c>
      <c r="T37" s="9"/>
      <c r="U37" s="1"/>
      <c r="V37" s="1"/>
      <c r="W37" s="1"/>
      <c r="X37" s="1"/>
      <c r="Y37" s="1"/>
      <c r="Z37" s="1"/>
      <c r="AA37" s="1"/>
    </row>
    <row r="38" spans="1:27" ht="15.75" customHeight="1">
      <c r="A38" s="4">
        <v>202</v>
      </c>
      <c r="B38" s="56" t="s">
        <v>36</v>
      </c>
      <c r="C38" s="78"/>
      <c r="D38" s="58" t="s">
        <v>37</v>
      </c>
      <c r="E38" s="77" t="s">
        <v>83</v>
      </c>
      <c r="F38" s="77" t="s">
        <v>84</v>
      </c>
      <c r="G38" s="60">
        <v>3</v>
      </c>
      <c r="H38" s="8">
        <v>1.472</v>
      </c>
      <c r="I38" s="8">
        <v>1.601</v>
      </c>
      <c r="J38" s="77">
        <v>4</v>
      </c>
      <c r="K38" s="74">
        <v>516</v>
      </c>
      <c r="L38" s="8">
        <v>100</v>
      </c>
      <c r="M38" s="8">
        <v>300</v>
      </c>
      <c r="N38" s="75"/>
      <c r="O38" s="77">
        <v>300</v>
      </c>
      <c r="P38" s="77">
        <v>200</v>
      </c>
      <c r="Q38" s="8" t="s">
        <v>85</v>
      </c>
      <c r="R38" s="76"/>
      <c r="S38" s="8" t="s">
        <v>85</v>
      </c>
      <c r="T38" s="9"/>
      <c r="U38" s="1"/>
      <c r="V38" s="1"/>
      <c r="W38" s="1"/>
      <c r="X38" s="1"/>
      <c r="Y38" s="1"/>
      <c r="Z38" s="1"/>
      <c r="AA38" s="1"/>
    </row>
    <row r="39" spans="1:27" ht="15.75" customHeight="1">
      <c r="A39" s="79"/>
      <c r="B39" s="28"/>
      <c r="C39" s="78"/>
      <c r="D39" s="78"/>
      <c r="E39" s="75"/>
      <c r="F39" s="75"/>
      <c r="G39" s="75"/>
      <c r="H39" s="9"/>
      <c r="I39" s="9"/>
      <c r="J39" s="75"/>
      <c r="K39" s="74" t="s">
        <v>71</v>
      </c>
      <c r="L39" s="9"/>
      <c r="M39" s="9"/>
      <c r="N39" s="75"/>
      <c r="O39" s="75"/>
      <c r="P39" s="75"/>
      <c r="Q39" s="8" t="s">
        <v>71</v>
      </c>
      <c r="R39" s="76"/>
      <c r="S39" s="8" t="s">
        <v>71</v>
      </c>
      <c r="T39" s="9"/>
      <c r="U39" s="1"/>
      <c r="V39" s="1"/>
      <c r="W39" s="1"/>
      <c r="X39" s="1"/>
      <c r="Y39" s="1"/>
      <c r="Z39" s="1"/>
      <c r="AA39" s="1"/>
    </row>
    <row r="40" spans="1:27" ht="15.75" customHeight="1">
      <c r="A40" s="79"/>
      <c r="B40" s="75"/>
      <c r="C40" s="78"/>
      <c r="D40" s="78"/>
      <c r="E40" s="75"/>
      <c r="F40" s="75"/>
      <c r="G40" s="75"/>
      <c r="H40" s="9"/>
      <c r="I40" s="9"/>
      <c r="J40" s="75"/>
      <c r="K40" s="74" t="s">
        <v>71</v>
      </c>
      <c r="L40" s="9"/>
      <c r="M40" s="9"/>
      <c r="N40" s="75"/>
      <c r="O40" s="75"/>
      <c r="P40" s="75"/>
      <c r="Q40" s="8" t="s">
        <v>71</v>
      </c>
      <c r="R40" s="76"/>
      <c r="S40" s="8" t="s">
        <v>71</v>
      </c>
      <c r="T40" s="9"/>
      <c r="U40" s="1"/>
      <c r="V40" s="1"/>
      <c r="W40" s="1"/>
      <c r="X40" s="1"/>
      <c r="Y40" s="1"/>
      <c r="Z40" s="1"/>
      <c r="AA40" s="1"/>
    </row>
    <row r="41" spans="1:27" ht="15.75" customHeight="1">
      <c r="A41" s="79"/>
      <c r="B41" s="75"/>
      <c r="C41" s="78"/>
      <c r="D41" s="78"/>
      <c r="E41" s="75"/>
      <c r="F41" s="75"/>
      <c r="G41" s="75"/>
      <c r="H41" s="9"/>
      <c r="I41" s="9"/>
      <c r="J41" s="75"/>
      <c r="K41" s="74" t="s">
        <v>71</v>
      </c>
      <c r="L41" s="9"/>
      <c r="M41" s="9"/>
      <c r="N41" s="75"/>
      <c r="O41" s="75"/>
      <c r="P41" s="75"/>
      <c r="Q41" s="8" t="s">
        <v>71</v>
      </c>
      <c r="R41" s="76"/>
      <c r="S41" s="8" t="s">
        <v>71</v>
      </c>
      <c r="T41" s="9"/>
      <c r="U41" s="1"/>
      <c r="V41" s="1"/>
      <c r="W41" s="1"/>
      <c r="X41" s="1"/>
      <c r="Y41" s="1"/>
      <c r="Z41" s="1"/>
      <c r="AA41" s="1"/>
    </row>
    <row r="42" spans="1:27" ht="15.75" customHeight="1">
      <c r="A42" s="80"/>
      <c r="B42" s="81"/>
      <c r="C42" s="81"/>
      <c r="D42" s="82"/>
      <c r="E42" s="81"/>
      <c r="F42" s="81"/>
      <c r="G42" s="81"/>
      <c r="H42" s="83"/>
      <c r="I42" s="83"/>
      <c r="J42" s="81"/>
      <c r="K42" s="83"/>
      <c r="L42" s="83"/>
      <c r="M42" s="81"/>
      <c r="N42" s="81"/>
      <c r="O42" s="81"/>
      <c r="P42" s="81"/>
      <c r="Q42" s="83"/>
      <c r="R42" s="83"/>
      <c r="S42" s="81"/>
      <c r="T42" s="81"/>
      <c r="U42" s="1"/>
      <c r="V42" s="1"/>
      <c r="W42" s="1"/>
      <c r="X42" s="1"/>
      <c r="Y42" s="1"/>
      <c r="Z42" s="1"/>
      <c r="AA42" s="1"/>
    </row>
    <row r="43" spans="1:27" ht="15.75" customHeight="1">
      <c r="A43" s="84"/>
      <c r="B43" s="85" t="s">
        <v>38</v>
      </c>
      <c r="C43" s="86"/>
      <c r="D43" s="87"/>
      <c r="E43" s="88" t="s">
        <v>86</v>
      </c>
      <c r="F43" s="88" t="s">
        <v>87</v>
      </c>
      <c r="G43" s="88">
        <v>11</v>
      </c>
      <c r="H43" s="89"/>
      <c r="I43" s="89"/>
      <c r="J43" s="89"/>
      <c r="K43" s="88" t="s">
        <v>88</v>
      </c>
      <c r="L43" s="89"/>
      <c r="M43" s="88" t="s">
        <v>89</v>
      </c>
      <c r="N43" s="90" t="s">
        <v>71</v>
      </c>
      <c r="O43" s="90">
        <v>700</v>
      </c>
      <c r="P43" s="88" t="s">
        <v>90</v>
      </c>
      <c r="Q43" s="88" t="s">
        <v>91</v>
      </c>
      <c r="R43" s="88" t="s">
        <v>71</v>
      </c>
      <c r="S43" s="90" t="s">
        <v>91</v>
      </c>
      <c r="T43" s="87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</sheetData>
  <mergeCells count="38">
    <mergeCell ref="R31:R32"/>
    <mergeCell ref="S31:S32"/>
    <mergeCell ref="T31:T32"/>
    <mergeCell ref="D31:D32"/>
    <mergeCell ref="E31:E32"/>
    <mergeCell ref="L31:M31"/>
    <mergeCell ref="N31:N32"/>
    <mergeCell ref="O31:O32"/>
    <mergeCell ref="P31:P32"/>
    <mergeCell ref="Q31:Q32"/>
    <mergeCell ref="R3:R4"/>
    <mergeCell ref="S3:S4"/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L3:M3"/>
    <mergeCell ref="N3:N4"/>
    <mergeCell ref="O3:O4"/>
    <mergeCell ref="P3:P4"/>
    <mergeCell ref="Q3:Q4"/>
    <mergeCell ref="F31:F32"/>
    <mergeCell ref="G31:G32"/>
    <mergeCell ref="G3:G4"/>
    <mergeCell ref="H3:K3"/>
    <mergeCell ref="A14:E14"/>
    <mergeCell ref="A15:E15"/>
    <mergeCell ref="A16:A26"/>
    <mergeCell ref="A28:D28"/>
    <mergeCell ref="A31:A32"/>
    <mergeCell ref="H31:K31"/>
    <mergeCell ref="B31:B32"/>
    <mergeCell ref="C31:C32"/>
  </mergeCells>
  <conditionalFormatting sqref="U12">
    <cfRule type="notContainsBlanks" dxfId="1" priority="1">
      <formula>LEN(TRIM(U12))&gt;0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/>
  </sheetViews>
  <sheetFormatPr defaultColWidth="12.59765625" defaultRowHeight="15" customHeight="1" outlineLevelRow="1"/>
  <cols>
    <col min="1" max="1" width="9.3984375" customWidth="1"/>
    <col min="2" max="2" width="23.09765625" customWidth="1"/>
    <col min="3" max="3" width="14.59765625" customWidth="1"/>
    <col min="4" max="4" width="19.69921875" customWidth="1"/>
    <col min="5" max="5" width="11.3984375" customWidth="1"/>
    <col min="6" max="6" width="16.59765625" customWidth="1"/>
    <col min="7" max="7" width="12" customWidth="1"/>
    <col min="8" max="8" width="6.8984375" customWidth="1"/>
    <col min="9" max="9" width="8" customWidth="1"/>
    <col min="10" max="10" width="13.8984375" customWidth="1"/>
    <col min="11" max="11" width="12.3984375" customWidth="1"/>
    <col min="12" max="12" width="11.59765625" customWidth="1"/>
    <col min="13" max="13" width="12.3984375" customWidth="1"/>
    <col min="14" max="14" width="5.8984375" customWidth="1"/>
    <col min="15" max="15" width="8.69921875" customWidth="1"/>
    <col min="16" max="16" width="10.19921875" customWidth="1"/>
    <col min="17" max="17" width="11.19921875" customWidth="1"/>
    <col min="18" max="18" width="8.5" customWidth="1"/>
    <col min="19" max="19" width="11.19921875" customWidth="1"/>
    <col min="20" max="20" width="12.3984375" customWidth="1"/>
    <col min="21" max="21" width="26.8984375" customWidth="1"/>
    <col min="22" max="27" width="7.69921875" customWidth="1"/>
  </cols>
  <sheetData>
    <row r="1" spans="1:27" ht="13.8">
      <c r="A1" s="17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7"/>
      <c r="V1" s="91"/>
      <c r="W1" s="92"/>
      <c r="X1" s="92"/>
      <c r="Y1" s="92"/>
      <c r="Z1" s="92"/>
      <c r="AA1" s="92"/>
    </row>
    <row r="2" spans="1:27" ht="13.8">
      <c r="A2" s="176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70"/>
      <c r="V2" s="91"/>
      <c r="W2" s="92"/>
      <c r="X2" s="92"/>
      <c r="Y2" s="92"/>
      <c r="Z2" s="92"/>
      <c r="AA2" s="92"/>
    </row>
    <row r="3" spans="1:27" ht="13.8">
      <c r="A3" s="182" t="s">
        <v>1</v>
      </c>
      <c r="B3" s="182" t="s">
        <v>2</v>
      </c>
      <c r="C3" s="182" t="s">
        <v>3</v>
      </c>
      <c r="D3" s="182" t="s">
        <v>68</v>
      </c>
      <c r="E3" s="182" t="s">
        <v>5</v>
      </c>
      <c r="F3" s="182" t="s">
        <v>6</v>
      </c>
      <c r="G3" s="182" t="s">
        <v>7</v>
      </c>
      <c r="H3" s="183" t="s">
        <v>8</v>
      </c>
      <c r="I3" s="163"/>
      <c r="J3" s="163"/>
      <c r="K3" s="164"/>
      <c r="L3" s="183" t="s">
        <v>9</v>
      </c>
      <c r="M3" s="164"/>
      <c r="N3" s="182" t="s">
        <v>10</v>
      </c>
      <c r="O3" s="182" t="s">
        <v>11</v>
      </c>
      <c r="P3" s="182" t="s">
        <v>12</v>
      </c>
      <c r="Q3" s="182" t="s">
        <v>13</v>
      </c>
      <c r="R3" s="182" t="s">
        <v>14</v>
      </c>
      <c r="S3" s="182" t="s">
        <v>15</v>
      </c>
      <c r="T3" s="182" t="s">
        <v>16</v>
      </c>
      <c r="U3" s="182" t="s">
        <v>17</v>
      </c>
      <c r="V3" s="92"/>
      <c r="W3" s="92"/>
      <c r="X3" s="92"/>
      <c r="Y3" s="92"/>
      <c r="Z3" s="92"/>
      <c r="AA3" s="92"/>
    </row>
    <row r="4" spans="1:27" ht="13.8">
      <c r="A4" s="161"/>
      <c r="B4" s="161"/>
      <c r="C4" s="161"/>
      <c r="D4" s="161"/>
      <c r="E4" s="161"/>
      <c r="F4" s="161"/>
      <c r="G4" s="161"/>
      <c r="H4" s="93" t="s">
        <v>18</v>
      </c>
      <c r="I4" s="93" t="s">
        <v>19</v>
      </c>
      <c r="J4" s="93" t="s">
        <v>20</v>
      </c>
      <c r="K4" s="93" t="s">
        <v>21</v>
      </c>
      <c r="L4" s="93" t="s">
        <v>22</v>
      </c>
      <c r="M4" s="93" t="s">
        <v>21</v>
      </c>
      <c r="N4" s="161"/>
      <c r="O4" s="161"/>
      <c r="P4" s="161"/>
      <c r="Q4" s="161"/>
      <c r="R4" s="161"/>
      <c r="S4" s="161"/>
      <c r="T4" s="161"/>
      <c r="U4" s="161"/>
      <c r="V4" s="92"/>
      <c r="W4" s="92"/>
      <c r="X4" s="92"/>
      <c r="Y4" s="92"/>
      <c r="Z4" s="92"/>
      <c r="AA4" s="92"/>
    </row>
    <row r="5" spans="1:27" ht="13.8">
      <c r="A5" s="94" t="s">
        <v>23</v>
      </c>
      <c r="B5" s="95"/>
      <c r="C5" s="6"/>
      <c r="D5" s="7"/>
      <c r="E5" s="11">
        <v>3500000</v>
      </c>
      <c r="F5" s="11"/>
      <c r="G5" s="10"/>
      <c r="H5" s="11"/>
      <c r="I5" s="11"/>
      <c r="J5" s="11">
        <v>4000</v>
      </c>
      <c r="K5" s="11">
        <f t="shared" ref="K5:K10" si="0">(I5-H5)*J5</f>
        <v>0</v>
      </c>
      <c r="L5" s="11">
        <v>100000</v>
      </c>
      <c r="M5" s="11">
        <f t="shared" ref="M5:M10" si="1">L5*G5</f>
        <v>0</v>
      </c>
      <c r="N5" s="11"/>
      <c r="O5" s="11"/>
      <c r="P5" s="11"/>
      <c r="Q5" s="11">
        <f>F5+K5+M5+O5+P5</f>
        <v>0</v>
      </c>
      <c r="R5" s="12"/>
      <c r="S5" s="13">
        <f t="shared" ref="S5:S10" si="2">Q5-R5</f>
        <v>0</v>
      </c>
      <c r="T5" s="11"/>
      <c r="U5" s="11"/>
      <c r="V5" s="92"/>
      <c r="W5" s="92"/>
      <c r="X5" s="92"/>
      <c r="Y5" s="92"/>
      <c r="Z5" s="92"/>
      <c r="AA5" s="92"/>
    </row>
    <row r="6" spans="1:27" ht="13.8">
      <c r="A6" s="94" t="s">
        <v>24</v>
      </c>
      <c r="B6" s="95" t="s">
        <v>25</v>
      </c>
      <c r="C6" s="96" t="s">
        <v>92</v>
      </c>
      <c r="D6" s="29" t="s">
        <v>26</v>
      </c>
      <c r="E6" s="23">
        <v>4000000</v>
      </c>
      <c r="F6" s="23">
        <v>3500000</v>
      </c>
      <c r="G6" s="30">
        <v>1</v>
      </c>
      <c r="H6" s="11">
        <v>3619</v>
      </c>
      <c r="I6" s="11">
        <v>3858</v>
      </c>
      <c r="J6" s="23">
        <v>4000</v>
      </c>
      <c r="K6" s="6">
        <f t="shared" si="0"/>
        <v>956000</v>
      </c>
      <c r="L6" s="11">
        <v>100000</v>
      </c>
      <c r="M6" s="11">
        <f t="shared" si="1"/>
        <v>100000</v>
      </c>
      <c r="N6" s="13"/>
      <c r="O6" s="23">
        <v>100000</v>
      </c>
      <c r="P6" s="23">
        <v>200000</v>
      </c>
      <c r="Q6" s="11">
        <f t="shared" ref="Q6:Q7" si="3">F6+K6+M6+P6+O6</f>
        <v>4856000</v>
      </c>
      <c r="R6" s="23"/>
      <c r="S6" s="97">
        <f t="shared" si="2"/>
        <v>4856000</v>
      </c>
      <c r="T6" s="97"/>
      <c r="U6" s="97" t="s">
        <v>93</v>
      </c>
      <c r="V6" s="92"/>
      <c r="W6" s="92"/>
      <c r="X6" s="92"/>
      <c r="Y6" s="92"/>
      <c r="Z6" s="92"/>
      <c r="AA6" s="92"/>
    </row>
    <row r="7" spans="1:27" ht="13.8">
      <c r="A7" s="94">
        <v>101</v>
      </c>
      <c r="B7" s="95" t="s">
        <v>28</v>
      </c>
      <c r="C7" s="6" t="s">
        <v>94</v>
      </c>
      <c r="D7" s="29" t="s">
        <v>29</v>
      </c>
      <c r="E7" s="13">
        <v>4800000</v>
      </c>
      <c r="F7" s="13">
        <v>4300000</v>
      </c>
      <c r="G7" s="30">
        <v>3</v>
      </c>
      <c r="H7" s="11">
        <v>1395</v>
      </c>
      <c r="I7" s="11">
        <v>1582</v>
      </c>
      <c r="J7" s="13">
        <v>4000</v>
      </c>
      <c r="K7" s="6">
        <f t="shared" si="0"/>
        <v>748000</v>
      </c>
      <c r="L7" s="11">
        <v>100000</v>
      </c>
      <c r="M7" s="11">
        <f t="shared" si="1"/>
        <v>300000</v>
      </c>
      <c r="N7" s="13"/>
      <c r="O7" s="13">
        <v>100000</v>
      </c>
      <c r="P7" s="13">
        <v>200000</v>
      </c>
      <c r="Q7" s="11">
        <f t="shared" si="3"/>
        <v>5648000</v>
      </c>
      <c r="R7" s="23"/>
      <c r="S7" s="97">
        <f t="shared" si="2"/>
        <v>5648000</v>
      </c>
      <c r="T7" s="13"/>
      <c r="U7" s="98" t="s">
        <v>95</v>
      </c>
      <c r="V7" s="92"/>
      <c r="W7" s="92"/>
      <c r="X7" s="92"/>
      <c r="Y7" s="92"/>
      <c r="Z7" s="92"/>
      <c r="AA7" s="92"/>
    </row>
    <row r="8" spans="1:27" ht="13.8">
      <c r="A8" s="94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99">
        <v>3</v>
      </c>
      <c r="H8" s="11">
        <v>4032</v>
      </c>
      <c r="I8" s="11">
        <v>4331</v>
      </c>
      <c r="J8" s="13">
        <v>4000</v>
      </c>
      <c r="K8" s="6">
        <f t="shared" si="0"/>
        <v>1196000</v>
      </c>
      <c r="L8" s="11">
        <v>100000</v>
      </c>
      <c r="M8" s="11">
        <f t="shared" si="1"/>
        <v>300000</v>
      </c>
      <c r="N8" s="13"/>
      <c r="O8" s="13"/>
      <c r="P8" s="13">
        <v>200000</v>
      </c>
      <c r="Q8" s="11">
        <f>F8+K8+M8+O8+P8</f>
        <v>5796000</v>
      </c>
      <c r="R8" s="23"/>
      <c r="S8" s="97">
        <f t="shared" si="2"/>
        <v>5796000</v>
      </c>
      <c r="T8" s="98"/>
      <c r="U8" s="98" t="s">
        <v>97</v>
      </c>
      <c r="V8" s="92"/>
      <c r="W8" s="92"/>
      <c r="X8" s="92"/>
      <c r="Y8" s="92"/>
      <c r="Z8" s="92"/>
      <c r="AA8" s="92"/>
    </row>
    <row r="9" spans="1:27" ht="13.8">
      <c r="A9" s="94">
        <v>201</v>
      </c>
      <c r="B9" s="95" t="s">
        <v>34</v>
      </c>
      <c r="C9" s="94" t="s">
        <v>98</v>
      </c>
      <c r="D9" s="29" t="s">
        <v>35</v>
      </c>
      <c r="E9" s="13">
        <v>5100000</v>
      </c>
      <c r="F9" s="13">
        <v>4600000</v>
      </c>
      <c r="G9" s="30">
        <v>2</v>
      </c>
      <c r="H9" s="11">
        <v>3073</v>
      </c>
      <c r="I9" s="11">
        <v>3285</v>
      </c>
      <c r="J9" s="13">
        <v>4000</v>
      </c>
      <c r="K9" s="6">
        <f t="shared" si="0"/>
        <v>848000</v>
      </c>
      <c r="L9" s="11">
        <v>100000</v>
      </c>
      <c r="M9" s="11">
        <f t="shared" si="1"/>
        <v>200000</v>
      </c>
      <c r="N9" s="13"/>
      <c r="O9" s="13">
        <v>100000</v>
      </c>
      <c r="P9" s="13">
        <v>200000</v>
      </c>
      <c r="Q9" s="11">
        <f t="shared" ref="Q9:Q10" si="4">F9+K9+M9+P9+O9</f>
        <v>5948000</v>
      </c>
      <c r="R9" s="23"/>
      <c r="S9" s="97">
        <f t="shared" si="2"/>
        <v>5948000</v>
      </c>
      <c r="T9" s="98"/>
      <c r="U9" s="98" t="s">
        <v>97</v>
      </c>
      <c r="V9" s="92"/>
      <c r="W9" s="92"/>
      <c r="X9" s="92"/>
      <c r="Y9" s="92"/>
      <c r="Z9" s="92"/>
      <c r="AA9" s="92"/>
    </row>
    <row r="10" spans="1:27" ht="13.8">
      <c r="A10" s="94">
        <v>202</v>
      </c>
      <c r="B10" s="95" t="s">
        <v>36</v>
      </c>
      <c r="C10" s="94"/>
      <c r="D10" s="29" t="s">
        <v>37</v>
      </c>
      <c r="E10" s="13">
        <v>5500000</v>
      </c>
      <c r="F10" s="13">
        <v>5000000</v>
      </c>
      <c r="G10" s="30">
        <v>2</v>
      </c>
      <c r="H10" s="13">
        <v>1326</v>
      </c>
      <c r="I10" s="13">
        <v>1428</v>
      </c>
      <c r="J10" s="13">
        <v>4000</v>
      </c>
      <c r="K10" s="6">
        <f t="shared" si="0"/>
        <v>408000</v>
      </c>
      <c r="L10" s="11">
        <v>100000</v>
      </c>
      <c r="M10" s="11">
        <f t="shared" si="1"/>
        <v>200000</v>
      </c>
      <c r="N10" s="13"/>
      <c r="O10" s="13">
        <v>200000</v>
      </c>
      <c r="P10" s="13">
        <v>200000</v>
      </c>
      <c r="Q10" s="11">
        <f t="shared" si="4"/>
        <v>6008000</v>
      </c>
      <c r="R10" s="23"/>
      <c r="S10" s="65">
        <f t="shared" si="2"/>
        <v>6008000</v>
      </c>
      <c r="T10" s="13"/>
      <c r="U10" s="100" t="s">
        <v>99</v>
      </c>
      <c r="V10" s="92"/>
      <c r="W10" s="92"/>
      <c r="X10" s="92"/>
      <c r="Y10" s="92"/>
      <c r="Z10" s="92"/>
      <c r="AA10" s="92"/>
    </row>
    <row r="11" spans="1:27" ht="13.8">
      <c r="A11" s="13"/>
      <c r="B11" s="13"/>
      <c r="C11" s="13"/>
      <c r="D11" s="29"/>
      <c r="E11" s="13"/>
      <c r="F11" s="13"/>
      <c r="G11" s="30"/>
      <c r="H11" s="23"/>
      <c r="I11" s="23"/>
      <c r="J11" s="13"/>
      <c r="K11" s="23"/>
      <c r="L11" s="23"/>
      <c r="M11" s="13"/>
      <c r="N11" s="13"/>
      <c r="O11" s="13"/>
      <c r="P11" s="13"/>
      <c r="Q11" s="23"/>
      <c r="R11" s="23"/>
      <c r="S11" s="13"/>
      <c r="T11" s="13"/>
      <c r="U11" s="13"/>
      <c r="V11" s="92"/>
      <c r="W11" s="92"/>
      <c r="X11" s="92"/>
      <c r="Y11" s="92"/>
      <c r="Z11" s="92"/>
      <c r="AA11" s="92"/>
    </row>
    <row r="12" spans="1:27" ht="15.6">
      <c r="A12" s="32"/>
      <c r="B12" s="33" t="s">
        <v>38</v>
      </c>
      <c r="C12" s="33"/>
      <c r="D12" s="34"/>
      <c r="E12" s="35">
        <f t="shared" ref="E12:G12" si="5">SUM(E5:E11)</f>
        <v>27500000</v>
      </c>
      <c r="F12" s="35">
        <f t="shared" si="5"/>
        <v>21500000</v>
      </c>
      <c r="G12" s="36">
        <f t="shared" si="5"/>
        <v>11</v>
      </c>
      <c r="H12" s="35"/>
      <c r="I12" s="35"/>
      <c r="J12" s="35"/>
      <c r="K12" s="35">
        <f>SUM(K5:K10)</f>
        <v>4156000</v>
      </c>
      <c r="L12" s="35"/>
      <c r="M12" s="35">
        <f t="shared" ref="M12:P12" si="6">SUM(M5:M11)</f>
        <v>1100000</v>
      </c>
      <c r="N12" s="32">
        <f t="shared" si="6"/>
        <v>0</v>
      </c>
      <c r="O12" s="32">
        <f t="shared" si="6"/>
        <v>500000</v>
      </c>
      <c r="P12" s="35">
        <f t="shared" si="6"/>
        <v>1000000</v>
      </c>
      <c r="Q12" s="35">
        <f t="shared" ref="Q12:S12" si="7">SUM(Q5:Q10)</f>
        <v>28256000</v>
      </c>
      <c r="R12" s="35">
        <f t="shared" si="7"/>
        <v>0</v>
      </c>
      <c r="S12" s="32">
        <f t="shared" si="7"/>
        <v>28256000</v>
      </c>
      <c r="T12" s="32"/>
      <c r="U12" s="32"/>
      <c r="V12" s="101"/>
      <c r="W12" s="101"/>
      <c r="X12" s="101"/>
      <c r="Y12" s="101"/>
      <c r="Z12" s="101"/>
      <c r="AA12" s="101"/>
    </row>
    <row r="13" spans="1:27" ht="13.8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</row>
    <row r="14" spans="1:27" ht="13.8">
      <c r="A14" s="165" t="s">
        <v>39</v>
      </c>
      <c r="B14" s="166"/>
      <c r="C14" s="166"/>
      <c r="D14" s="166"/>
      <c r="E14" s="167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</row>
    <row r="15" spans="1:27" ht="13.8">
      <c r="A15" s="168" t="str">
        <f>A1</f>
        <v>K8: 58 BÙI ĐIỀN, QUẬN 8</v>
      </c>
      <c r="B15" s="169"/>
      <c r="C15" s="169"/>
      <c r="D15" s="169"/>
      <c r="E15" s="170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</row>
    <row r="16" spans="1:27" ht="15" customHeight="1">
      <c r="A16" s="171" t="s">
        <v>40</v>
      </c>
      <c r="B16" s="102" t="s">
        <v>41</v>
      </c>
      <c r="C16" s="102" t="s">
        <v>42</v>
      </c>
      <c r="D16" s="102" t="s">
        <v>43</v>
      </c>
      <c r="E16" s="102" t="s">
        <v>44</v>
      </c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</row>
    <row r="17" spans="1:27" ht="55.2">
      <c r="A17" s="172"/>
      <c r="B17" s="39" t="s">
        <v>100</v>
      </c>
      <c r="C17" s="103">
        <f>F12</f>
        <v>21500000</v>
      </c>
      <c r="D17" s="103">
        <v>15000000</v>
      </c>
      <c r="E17" s="103">
        <f t="shared" ref="E17:E25" si="8">C17-D17</f>
        <v>6500000</v>
      </c>
      <c r="F17" s="40" t="s">
        <v>101</v>
      </c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 spans="1:27" ht="41.4">
      <c r="A18" s="172"/>
      <c r="B18" s="39" t="s">
        <v>47</v>
      </c>
      <c r="C18" s="103">
        <f>K12</f>
        <v>4156000</v>
      </c>
      <c r="D18" s="104">
        <v>3652906</v>
      </c>
      <c r="E18" s="103">
        <f t="shared" si="8"/>
        <v>503094</v>
      </c>
      <c r="F18" s="40" t="s">
        <v>102</v>
      </c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</row>
    <row r="19" spans="1:27" ht="41.4">
      <c r="A19" s="172"/>
      <c r="B19" s="39" t="s">
        <v>49</v>
      </c>
      <c r="C19" s="103">
        <f>M12</f>
        <v>1100000</v>
      </c>
      <c r="D19" s="105">
        <v>423467</v>
      </c>
      <c r="E19" s="103">
        <f t="shared" si="8"/>
        <v>676533</v>
      </c>
      <c r="F19" s="40" t="s">
        <v>103</v>
      </c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</row>
    <row r="20" spans="1:27" ht="27.6">
      <c r="A20" s="172"/>
      <c r="B20" s="39" t="s">
        <v>51</v>
      </c>
      <c r="C20" s="103">
        <f>N12</f>
        <v>0</v>
      </c>
      <c r="D20" s="105">
        <v>299000</v>
      </c>
      <c r="E20" s="103">
        <f t="shared" si="8"/>
        <v>-299000</v>
      </c>
      <c r="F20" s="40" t="s">
        <v>103</v>
      </c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</row>
    <row r="21" spans="1:27" ht="15.75" customHeight="1">
      <c r="A21" s="172"/>
      <c r="B21" s="24" t="s">
        <v>52</v>
      </c>
      <c r="C21" s="103">
        <f>O12</f>
        <v>500000</v>
      </c>
      <c r="D21" s="103">
        <v>0</v>
      </c>
      <c r="E21" s="103">
        <f t="shared" si="8"/>
        <v>500000</v>
      </c>
      <c r="F21" s="106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2" spans="1:27" ht="15.75" customHeight="1">
      <c r="A22" s="172"/>
      <c r="B22" s="24" t="s">
        <v>53</v>
      </c>
      <c r="C22" s="103"/>
      <c r="D22" s="103"/>
      <c r="E22" s="103">
        <f t="shared" si="8"/>
        <v>0</v>
      </c>
      <c r="F22" s="106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</row>
    <row r="23" spans="1:27" ht="15.75" customHeight="1">
      <c r="A23" s="172"/>
      <c r="B23" s="107" t="s">
        <v>54</v>
      </c>
      <c r="C23" s="108">
        <v>0</v>
      </c>
      <c r="D23" s="108">
        <v>1000000</v>
      </c>
      <c r="E23" s="108">
        <f t="shared" si="8"/>
        <v>-1000000</v>
      </c>
      <c r="F23" s="40" t="s">
        <v>104</v>
      </c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</row>
    <row r="24" spans="1:27" ht="15.75" customHeight="1">
      <c r="A24" s="172"/>
      <c r="B24" s="107" t="s">
        <v>105</v>
      </c>
      <c r="C24" s="108">
        <f>P12</f>
        <v>1000000</v>
      </c>
      <c r="D24" s="108">
        <v>500000</v>
      </c>
      <c r="E24" s="108">
        <f t="shared" si="8"/>
        <v>500000</v>
      </c>
      <c r="F24" s="40" t="s">
        <v>104</v>
      </c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</row>
    <row r="25" spans="1:27" ht="15.75" customHeight="1">
      <c r="A25" s="172"/>
      <c r="B25" s="107" t="s">
        <v>56</v>
      </c>
      <c r="C25" s="108"/>
      <c r="D25" s="108">
        <v>500000</v>
      </c>
      <c r="E25" s="108">
        <f t="shared" si="8"/>
        <v>-500000</v>
      </c>
      <c r="F25" s="40" t="s">
        <v>104</v>
      </c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</row>
    <row r="26" spans="1:27" ht="15.75" customHeight="1">
      <c r="A26" s="161"/>
      <c r="B26" s="48" t="s">
        <v>57</v>
      </c>
      <c r="C26" s="48">
        <f t="shared" ref="C26:E26" si="9">SUM(C17:C25)</f>
        <v>28256000</v>
      </c>
      <c r="D26" s="48">
        <f t="shared" si="9"/>
        <v>21375373</v>
      </c>
      <c r="E26" s="48">
        <f t="shared" si="9"/>
        <v>6880627</v>
      </c>
      <c r="F26" s="49">
        <f>E26/C26</f>
        <v>0.24351029869762175</v>
      </c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</row>
    <row r="27" spans="1:27" ht="15.75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</row>
    <row r="28" spans="1:27" ht="15.75" customHeight="1" outlineLevel="1">
      <c r="A28" s="184" t="s">
        <v>58</v>
      </c>
      <c r="B28" s="174"/>
      <c r="C28" s="174"/>
      <c r="D28" s="174"/>
      <c r="E28" s="109">
        <v>90000000</v>
      </c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</row>
    <row r="29" spans="1:27" ht="15.75" customHeight="1" outlineLevel="1">
      <c r="A29" s="110"/>
      <c r="B29" s="110"/>
      <c r="C29" s="110"/>
      <c r="D29" s="110"/>
      <c r="E29" s="49">
        <f>E26/E28</f>
        <v>7.6451411111111117E-2</v>
      </c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</row>
    <row r="30" spans="1:27" ht="15.75" customHeight="1" outlineLevel="1">
      <c r="A30" s="184" t="s">
        <v>106</v>
      </c>
      <c r="B30" s="174"/>
      <c r="C30" s="174"/>
      <c r="D30" s="174"/>
      <c r="E30" s="111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</row>
    <row r="31" spans="1:27" ht="15.75" customHeight="1" outlineLevel="1">
      <c r="A31" s="184" t="s">
        <v>107</v>
      </c>
      <c r="B31" s="174"/>
      <c r="C31" s="174"/>
      <c r="D31" s="174"/>
      <c r="E31" s="111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</row>
    <row r="32" spans="1:27" ht="15.7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</row>
    <row r="33" spans="1:27" ht="15.75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</row>
    <row r="34" spans="1:27" ht="15.75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</row>
    <row r="35" spans="1:27" ht="15.75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</row>
    <row r="36" spans="1:27" ht="15.75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</row>
    <row r="37" spans="1:27" ht="15.7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</row>
    <row r="38" spans="1:27" ht="15.7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</row>
    <row r="39" spans="1:27" ht="15.7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</row>
    <row r="40" spans="1:27" ht="15.7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</row>
    <row r="41" spans="1:27" ht="15.7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</row>
    <row r="42" spans="1:27" ht="15.7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</row>
    <row r="43" spans="1:27" ht="15.7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</row>
    <row r="44" spans="1:27" ht="15.7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</row>
    <row r="45" spans="1:27" ht="15.7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</row>
    <row r="46" spans="1:27" ht="15.7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</row>
    <row r="47" spans="1:27" ht="15.7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</row>
    <row r="48" spans="1:27" ht="15.7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</row>
    <row r="49" spans="1:27" ht="15.7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</row>
    <row r="50" spans="1:27" ht="15.7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</row>
    <row r="51" spans="1:27" ht="15.7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</row>
    <row r="52" spans="1:27" ht="15.7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</row>
    <row r="53" spans="1:27" ht="15.7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</row>
    <row r="54" spans="1:27" ht="15.7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</row>
    <row r="55" spans="1:27" ht="15.7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</row>
    <row r="56" spans="1:27" ht="15.7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</row>
    <row r="57" spans="1:27" ht="15.7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</row>
    <row r="58" spans="1:27" ht="15.7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</row>
    <row r="59" spans="1:27" ht="15.7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</row>
    <row r="60" spans="1:27" ht="15.7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</row>
    <row r="61" spans="1:27" ht="15.7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</row>
    <row r="62" spans="1:27" ht="15.7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</row>
    <row r="63" spans="1:27" ht="15.7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</row>
    <row r="64" spans="1:27" ht="15.7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</row>
    <row r="65" spans="1:27" ht="15.7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</row>
    <row r="66" spans="1:27" ht="15.7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</row>
    <row r="67" spans="1:27" ht="15.7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</row>
    <row r="68" spans="1:27" ht="15.7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</row>
    <row r="69" spans="1:27" ht="15.7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</row>
    <row r="70" spans="1:27" ht="15.7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</row>
    <row r="71" spans="1:27" ht="15.7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</row>
    <row r="72" spans="1:27" ht="15.7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</row>
    <row r="73" spans="1:27" ht="15.7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</row>
    <row r="74" spans="1:27" ht="15.7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</row>
    <row r="75" spans="1:27" ht="15.7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</row>
    <row r="76" spans="1:27" ht="15.7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</row>
    <row r="77" spans="1:27" ht="15.7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</row>
    <row r="78" spans="1:27" ht="15.7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</row>
    <row r="79" spans="1:27" ht="15.7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</row>
    <row r="80" spans="1:27" ht="15.7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</row>
    <row r="81" spans="1:27" ht="15.7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</row>
    <row r="82" spans="1:27" ht="15.7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</row>
    <row r="83" spans="1:27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</row>
    <row r="84" spans="1:27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</row>
    <row r="85" spans="1:27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</row>
    <row r="86" spans="1:27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</row>
    <row r="87" spans="1:27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</row>
    <row r="88" spans="1:27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</row>
    <row r="89" spans="1:27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</row>
    <row r="90" spans="1:27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</row>
    <row r="91" spans="1:27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</row>
    <row r="92" spans="1:27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</row>
    <row r="93" spans="1:27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</row>
    <row r="94" spans="1:27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</row>
    <row r="95" spans="1:27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</row>
    <row r="96" spans="1:27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</row>
    <row r="97" spans="1:27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</row>
    <row r="98" spans="1:27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</row>
    <row r="99" spans="1:27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</row>
    <row r="100" spans="1:27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</row>
    <row r="101" spans="1:27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</row>
    <row r="102" spans="1:27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</row>
    <row r="103" spans="1:27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</row>
    <row r="104" spans="1:27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</row>
    <row r="105" spans="1:27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</row>
    <row r="106" spans="1:27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</row>
    <row r="107" spans="1:27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</row>
    <row r="108" spans="1:27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</row>
    <row r="109" spans="1:27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</row>
    <row r="110" spans="1:27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</row>
    <row r="111" spans="1:27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</row>
    <row r="112" spans="1:27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</row>
    <row r="113" spans="1:27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</row>
    <row r="114" spans="1:27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</row>
    <row r="115" spans="1:27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</row>
    <row r="116" spans="1:27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</row>
    <row r="117" spans="1:27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</row>
    <row r="118" spans="1:27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</row>
    <row r="119" spans="1:27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</row>
    <row r="120" spans="1:27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</row>
    <row r="121" spans="1:27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</row>
    <row r="122" spans="1:27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</row>
    <row r="123" spans="1:27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</row>
    <row r="124" spans="1:27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</row>
    <row r="125" spans="1:27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</row>
    <row r="126" spans="1:27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</row>
    <row r="127" spans="1:27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</row>
    <row r="128" spans="1:27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</row>
    <row r="129" spans="1:27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</row>
    <row r="130" spans="1:27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</row>
    <row r="131" spans="1:27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</row>
    <row r="132" spans="1:27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</row>
    <row r="133" spans="1:27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</row>
    <row r="134" spans="1:27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</row>
    <row r="135" spans="1:27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</row>
    <row r="136" spans="1:27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</row>
    <row r="137" spans="1:27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</row>
    <row r="138" spans="1:27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</row>
    <row r="139" spans="1:27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</row>
    <row r="140" spans="1:27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</row>
    <row r="141" spans="1:27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</row>
    <row r="142" spans="1:27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</row>
    <row r="143" spans="1:27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</row>
    <row r="144" spans="1:27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</row>
    <row r="145" spans="1:27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</row>
    <row r="146" spans="1:27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</row>
    <row r="147" spans="1:27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</row>
    <row r="148" spans="1:27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</row>
    <row r="149" spans="1:27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</row>
    <row r="150" spans="1:27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</row>
    <row r="151" spans="1:27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</row>
    <row r="152" spans="1:27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</row>
    <row r="153" spans="1:27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</row>
    <row r="154" spans="1:27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</row>
    <row r="155" spans="1:27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</row>
    <row r="156" spans="1:27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</row>
    <row r="157" spans="1:27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</row>
    <row r="158" spans="1:27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</row>
    <row r="159" spans="1:27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</row>
    <row r="160" spans="1:27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</row>
    <row r="161" spans="1:27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</row>
    <row r="162" spans="1:27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</row>
    <row r="163" spans="1:27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</row>
    <row r="164" spans="1:27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</row>
    <row r="165" spans="1:27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</row>
    <row r="166" spans="1:27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</row>
    <row r="167" spans="1:27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</row>
    <row r="168" spans="1:27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</row>
    <row r="169" spans="1:27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</row>
    <row r="170" spans="1:27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</row>
    <row r="171" spans="1:27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</row>
    <row r="172" spans="1:27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</row>
    <row r="173" spans="1:27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</row>
    <row r="174" spans="1:27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</row>
    <row r="175" spans="1:27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</row>
    <row r="176" spans="1:27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</row>
    <row r="177" spans="1:27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</row>
    <row r="178" spans="1:27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</row>
    <row r="179" spans="1:27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</row>
    <row r="180" spans="1:27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</row>
    <row r="181" spans="1:27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</row>
    <row r="182" spans="1:27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</row>
    <row r="183" spans="1:27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</row>
    <row r="184" spans="1:27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</row>
    <row r="185" spans="1:27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</row>
    <row r="186" spans="1:27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</row>
    <row r="187" spans="1:27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</row>
    <row r="188" spans="1:27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</row>
    <row r="189" spans="1:27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</row>
    <row r="190" spans="1:27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</row>
    <row r="191" spans="1:27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</row>
    <row r="192" spans="1:27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</row>
    <row r="193" spans="1:27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</row>
    <row r="194" spans="1:27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</row>
    <row r="195" spans="1:27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</row>
    <row r="196" spans="1:27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</row>
    <row r="197" spans="1:27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</row>
    <row r="198" spans="1:27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</row>
    <row r="199" spans="1:27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</row>
    <row r="200" spans="1:27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</row>
    <row r="201" spans="1:27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</row>
    <row r="202" spans="1:27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</row>
    <row r="203" spans="1:27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</row>
    <row r="204" spans="1:27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</row>
    <row r="205" spans="1:27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</row>
    <row r="206" spans="1:27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</row>
    <row r="207" spans="1:27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</row>
    <row r="208" spans="1:27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</row>
    <row r="209" spans="1:27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</row>
    <row r="210" spans="1:27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</row>
    <row r="211" spans="1:27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</row>
    <row r="212" spans="1:27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</row>
    <row r="213" spans="1:27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</row>
    <row r="214" spans="1:27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</row>
    <row r="215" spans="1:27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</row>
    <row r="216" spans="1:27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</row>
    <row r="217" spans="1:27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</row>
    <row r="218" spans="1:27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</row>
    <row r="219" spans="1:27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</row>
    <row r="220" spans="1:27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</row>
    <row r="221" spans="1:27" ht="15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</row>
    <row r="222" spans="1:27" ht="15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</row>
    <row r="223" spans="1:27" ht="15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</row>
    <row r="224" spans="1:27" ht="15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</row>
    <row r="225" spans="1:27" ht="15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</row>
    <row r="226" spans="1:27" ht="15.7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</row>
    <row r="227" spans="1:27" ht="15.7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</row>
    <row r="228" spans="1:27" ht="15.7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</row>
    <row r="229" spans="1:27" ht="15.7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</row>
    <row r="230" spans="1:27" ht="15.7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</row>
    <row r="231" spans="1:27" ht="15.7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</row>
    <row r="232" spans="1:27" ht="15.7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</row>
    <row r="233" spans="1:27" ht="15.7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</row>
    <row r="234" spans="1:27" ht="15.7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</row>
    <row r="235" spans="1:27" ht="15.7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</row>
    <row r="236" spans="1:27" ht="15.7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</row>
    <row r="237" spans="1:27" ht="15.7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</row>
    <row r="238" spans="1:27" ht="15.7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</row>
    <row r="239" spans="1:27" ht="15.7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</row>
    <row r="240" spans="1:27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</row>
    <row r="241" spans="1:27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</row>
    <row r="242" spans="1:27" ht="15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</row>
    <row r="243" spans="1:27" ht="15.7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</row>
    <row r="244" spans="1:27" ht="15.7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</row>
    <row r="245" spans="1:27" ht="15.7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</row>
    <row r="246" spans="1:27" ht="15.7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</row>
    <row r="247" spans="1:27" ht="15.7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</row>
    <row r="248" spans="1:27" ht="15.75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</row>
    <row r="249" spans="1:27" ht="15.75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</row>
    <row r="250" spans="1:27" ht="15.75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</row>
    <row r="251" spans="1:27" ht="15.75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</row>
    <row r="252" spans="1:27" ht="15.75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</row>
    <row r="253" spans="1:27" ht="15.75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</row>
    <row r="254" spans="1:27" ht="15.75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</row>
    <row r="255" spans="1:27" ht="15.75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</row>
    <row r="256" spans="1:27" ht="15.75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</row>
    <row r="257" spans="1:27" ht="15.75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</row>
    <row r="258" spans="1:27" ht="15.75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</row>
    <row r="259" spans="1:27" ht="15.75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</row>
    <row r="260" spans="1:27" ht="15.75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</row>
    <row r="261" spans="1:27" ht="15.75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</row>
    <row r="262" spans="1:27" ht="15.75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</row>
    <row r="263" spans="1:27" ht="15.75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</row>
    <row r="264" spans="1:27" ht="15.75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</row>
    <row r="265" spans="1:27" ht="15.75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</row>
    <row r="266" spans="1:27" ht="15.75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</row>
    <row r="267" spans="1:27" ht="15.75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</row>
    <row r="268" spans="1:27" ht="15.75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</row>
    <row r="269" spans="1:27" ht="15.75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</row>
    <row r="270" spans="1:27" ht="15.75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</row>
    <row r="271" spans="1:27" ht="15.7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</row>
    <row r="272" spans="1:27" ht="15.7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</row>
    <row r="273" spans="1:27" ht="15.7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</row>
    <row r="274" spans="1:27" ht="15.7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</row>
    <row r="275" spans="1:27" ht="15.7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</row>
    <row r="276" spans="1:27" ht="15.7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</row>
    <row r="277" spans="1:27" ht="15.7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</row>
    <row r="278" spans="1:27" ht="15.7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</row>
    <row r="279" spans="1:27" ht="15.7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</row>
    <row r="280" spans="1:27" ht="15.7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</row>
    <row r="281" spans="1:27" ht="15.7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</row>
    <row r="282" spans="1:27" ht="15.7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</row>
    <row r="283" spans="1:27" ht="15.7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</row>
    <row r="284" spans="1:27" ht="15.7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</row>
    <row r="285" spans="1:27" ht="15.7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</row>
    <row r="286" spans="1:27" ht="15.7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</row>
    <row r="287" spans="1:27" ht="15.7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</row>
    <row r="288" spans="1:27" ht="15.7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</row>
    <row r="289" spans="1:27" ht="15.7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</row>
    <row r="290" spans="1:27" ht="15.7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</row>
    <row r="291" spans="1:27" ht="15.7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</row>
    <row r="292" spans="1:27" ht="15.7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</row>
    <row r="293" spans="1:27" ht="15.7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</row>
    <row r="294" spans="1:27" ht="15.7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</row>
    <row r="295" spans="1:27" ht="15.7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</row>
    <row r="296" spans="1:27" ht="15.7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</row>
    <row r="297" spans="1:27" ht="15.7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</row>
    <row r="298" spans="1:27" ht="15.7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</row>
    <row r="299" spans="1:27" ht="15.7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</row>
    <row r="300" spans="1:27" ht="15.7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</row>
    <row r="301" spans="1:27" ht="15.7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</row>
    <row r="302" spans="1:27" ht="15.7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</row>
    <row r="303" spans="1:27" ht="15.7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</row>
    <row r="304" spans="1:27" ht="15.7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</row>
    <row r="305" spans="1:27" ht="15.7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</row>
    <row r="306" spans="1:27" ht="15.7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</row>
    <row r="307" spans="1:27" ht="15.7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</row>
    <row r="308" spans="1:27" ht="15.7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</row>
    <row r="309" spans="1:27" ht="15.7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</row>
    <row r="310" spans="1:27" ht="15.7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</row>
    <row r="311" spans="1:27" ht="15.7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</row>
    <row r="312" spans="1:27" ht="15.7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</row>
    <row r="313" spans="1:27" ht="15.7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</row>
    <row r="314" spans="1:27" ht="15.7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</row>
    <row r="315" spans="1:27" ht="15.7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</row>
    <row r="316" spans="1:27" ht="15.7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</row>
    <row r="317" spans="1:27" ht="15.7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</row>
    <row r="318" spans="1:27" ht="15.7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</row>
    <row r="319" spans="1:27" ht="15.7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</row>
    <row r="320" spans="1:27" ht="15.7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</row>
    <row r="321" spans="1:27" ht="15.7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</row>
    <row r="322" spans="1:27" ht="15.7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</row>
    <row r="323" spans="1:27" ht="15.7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</row>
    <row r="324" spans="1:27" ht="15.7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</row>
    <row r="325" spans="1:27" ht="15.7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</row>
    <row r="326" spans="1:27" ht="15.7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</row>
    <row r="327" spans="1:27" ht="15.7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</row>
    <row r="328" spans="1:27" ht="15.7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</row>
    <row r="329" spans="1:27" ht="15.7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</row>
    <row r="330" spans="1:27" ht="15.7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</row>
    <row r="331" spans="1:27" ht="15.7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</row>
    <row r="332" spans="1:27" ht="15.7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</row>
    <row r="333" spans="1:27" ht="15.7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</row>
    <row r="334" spans="1:27" ht="15.7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</row>
    <row r="335" spans="1:27" ht="15.7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</row>
    <row r="336" spans="1:27" ht="15.7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</row>
    <row r="337" spans="1:27" ht="15.7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</row>
    <row r="338" spans="1:27" ht="15.7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</row>
    <row r="339" spans="1:27" ht="15.7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</row>
    <row r="340" spans="1:27" ht="15.7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</row>
    <row r="341" spans="1:27" ht="15.7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</row>
    <row r="342" spans="1:27" ht="15.7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</row>
    <row r="343" spans="1:27" ht="15.7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</row>
    <row r="344" spans="1:27" ht="15.7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</row>
    <row r="345" spans="1:27" ht="15.7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</row>
    <row r="346" spans="1:27" ht="15.7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</row>
    <row r="347" spans="1:27" ht="15.7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</row>
    <row r="348" spans="1:27" ht="15.7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</row>
    <row r="349" spans="1:27" ht="15.7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</row>
    <row r="350" spans="1:27" ht="15.7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</row>
    <row r="351" spans="1:27" ht="15.7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</row>
    <row r="352" spans="1:27" ht="15.7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</row>
    <row r="353" spans="1:27" ht="15.7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</row>
    <row r="354" spans="1:27" ht="15.7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</row>
    <row r="355" spans="1:27" ht="15.7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</row>
    <row r="356" spans="1:27" ht="15.7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</row>
    <row r="357" spans="1:27" ht="15.7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</row>
    <row r="358" spans="1:27" ht="15.7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</row>
    <row r="359" spans="1:27" ht="15.7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</row>
    <row r="360" spans="1:27" ht="15.7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</row>
    <row r="361" spans="1:27" ht="15.7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</row>
    <row r="362" spans="1:27" ht="15.7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</row>
    <row r="363" spans="1:27" ht="15.7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</row>
    <row r="364" spans="1:27" ht="15.7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</row>
    <row r="365" spans="1:27" ht="15.7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</row>
    <row r="366" spans="1:27" ht="15.7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</row>
    <row r="367" spans="1:27" ht="15.7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</row>
    <row r="368" spans="1:27" ht="15.7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</row>
    <row r="369" spans="1:27" ht="15.7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</row>
    <row r="370" spans="1:27" ht="15.7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</row>
    <row r="371" spans="1:27" ht="15.7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</row>
    <row r="372" spans="1:27" ht="15.7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</row>
    <row r="373" spans="1:27" ht="15.7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</row>
    <row r="374" spans="1:27" ht="15.7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</row>
    <row r="375" spans="1:27" ht="15.7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</row>
    <row r="376" spans="1:27" ht="15.7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</row>
    <row r="377" spans="1:27" ht="15.7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</row>
    <row r="378" spans="1:27" ht="15.7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</row>
    <row r="379" spans="1:27" ht="15.7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</row>
    <row r="380" spans="1:27" ht="15.7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</row>
    <row r="381" spans="1:27" ht="15.7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</row>
    <row r="382" spans="1:27" ht="15.7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</row>
    <row r="383" spans="1:27" ht="15.7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</row>
    <row r="384" spans="1:27" ht="15.7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</row>
    <row r="385" spans="1:27" ht="15.7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</row>
    <row r="386" spans="1:27" ht="15.7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</row>
    <row r="387" spans="1:27" ht="15.7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</row>
    <row r="388" spans="1:27" ht="15.7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</row>
    <row r="389" spans="1:27" ht="15.7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</row>
    <row r="390" spans="1:27" ht="15.7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</row>
    <row r="391" spans="1:27" ht="15.7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</row>
    <row r="392" spans="1:27" ht="15.7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</row>
    <row r="393" spans="1:27" ht="15.7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</row>
    <row r="394" spans="1:27" ht="15.7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</row>
    <row r="395" spans="1:27" ht="15.7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</row>
    <row r="396" spans="1:27" ht="15.7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</row>
    <row r="397" spans="1:27" ht="15.7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</row>
    <row r="398" spans="1:27" ht="15.7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</row>
    <row r="399" spans="1:27" ht="15.7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</row>
    <row r="400" spans="1:27" ht="15.7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</row>
    <row r="401" spans="1:27" ht="15.7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</row>
    <row r="402" spans="1:27" ht="15.7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</row>
    <row r="403" spans="1:27" ht="15.7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</row>
    <row r="404" spans="1:27" ht="15.7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</row>
    <row r="405" spans="1:27" ht="15.7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</row>
    <row r="406" spans="1:27" ht="15.7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</row>
    <row r="407" spans="1:27" ht="15.7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</row>
    <row r="408" spans="1:27" ht="15.7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</row>
    <row r="409" spans="1:27" ht="15.7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</row>
    <row r="410" spans="1:27" ht="15.7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</row>
    <row r="411" spans="1:27" ht="15.7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</row>
    <row r="412" spans="1:27" ht="15.7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</row>
    <row r="413" spans="1:27" ht="15.7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</row>
    <row r="414" spans="1:27" ht="15.7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</row>
    <row r="415" spans="1:27" ht="15.7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</row>
    <row r="416" spans="1:27" ht="15.7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</row>
    <row r="417" spans="1:27" ht="15.7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</row>
    <row r="418" spans="1:27" ht="15.7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</row>
    <row r="419" spans="1:27" ht="15.7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</row>
    <row r="420" spans="1:27" ht="15.7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</row>
    <row r="421" spans="1:27" ht="15.7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</row>
    <row r="422" spans="1:27" ht="15.7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</row>
    <row r="423" spans="1:27" ht="15.7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</row>
    <row r="424" spans="1:27" ht="15.7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</row>
    <row r="425" spans="1:27" ht="15.7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</row>
    <row r="426" spans="1:27" ht="15.7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</row>
    <row r="427" spans="1:27" ht="15.7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</row>
    <row r="428" spans="1:27" ht="15.7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</row>
    <row r="429" spans="1:27" ht="15.7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</row>
    <row r="430" spans="1:27" ht="15.7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</row>
    <row r="431" spans="1:27" ht="15.7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</row>
    <row r="432" spans="1:27" ht="15.7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</row>
    <row r="433" spans="1:27" ht="15.7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</row>
    <row r="434" spans="1:27" ht="15.7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</row>
    <row r="435" spans="1:27" ht="15.7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</row>
    <row r="436" spans="1:27" ht="15.7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</row>
    <row r="437" spans="1:27" ht="15.7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</row>
    <row r="438" spans="1:27" ht="15.7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</row>
    <row r="439" spans="1:27" ht="15.7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</row>
    <row r="440" spans="1:27" ht="15.7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</row>
    <row r="441" spans="1:27" ht="15.7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</row>
    <row r="442" spans="1:27" ht="15.7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</row>
    <row r="443" spans="1:27" ht="15.7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</row>
    <row r="444" spans="1:27" ht="15.7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</row>
    <row r="445" spans="1:27" ht="15.7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</row>
    <row r="446" spans="1:27" ht="15.7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</row>
    <row r="447" spans="1:27" ht="15.7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</row>
    <row r="448" spans="1:27" ht="15.7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</row>
    <row r="449" spans="1:27" ht="15.7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</row>
    <row r="450" spans="1:27" ht="15.7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</row>
    <row r="451" spans="1:27" ht="15.7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</row>
    <row r="452" spans="1:27" ht="15.7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</row>
    <row r="453" spans="1:27" ht="15.7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</row>
    <row r="454" spans="1:27" ht="15.7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</row>
    <row r="455" spans="1:27" ht="15.7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</row>
    <row r="456" spans="1:27" ht="15.7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</row>
    <row r="457" spans="1:27" ht="15.7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</row>
    <row r="458" spans="1:27" ht="15.7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</row>
    <row r="459" spans="1:27" ht="15.7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</row>
    <row r="460" spans="1:27" ht="15.7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</row>
    <row r="461" spans="1:27" ht="15.7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</row>
    <row r="462" spans="1:27" ht="15.7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</row>
    <row r="463" spans="1:27" ht="15.7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</row>
    <row r="464" spans="1:27" ht="15.7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</row>
    <row r="465" spans="1:27" ht="15.7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</row>
    <row r="466" spans="1:27" ht="15.7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</row>
    <row r="467" spans="1:27" ht="15.7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</row>
    <row r="468" spans="1:27" ht="15.7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</row>
    <row r="469" spans="1:27" ht="15.7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</row>
    <row r="470" spans="1:27" ht="15.7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</row>
    <row r="471" spans="1:27" ht="15.7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</row>
    <row r="472" spans="1:27" ht="15.7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</row>
    <row r="473" spans="1:27" ht="15.7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</row>
    <row r="474" spans="1:27" ht="15.7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</row>
    <row r="475" spans="1:27" ht="15.7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</row>
    <row r="476" spans="1:27" ht="15.7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</row>
    <row r="477" spans="1:27" ht="15.7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</row>
    <row r="478" spans="1:27" ht="15.7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</row>
    <row r="479" spans="1:27" ht="15.7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</row>
    <row r="480" spans="1:27" ht="15.7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</row>
    <row r="481" spans="1:27" ht="15.7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</row>
    <row r="482" spans="1:27" ht="15.7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</row>
    <row r="483" spans="1:27" ht="15.7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</row>
    <row r="484" spans="1:27" ht="15.7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</row>
    <row r="485" spans="1:27" ht="15.7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</row>
    <row r="486" spans="1:27" ht="15.7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</row>
    <row r="487" spans="1:27" ht="15.7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</row>
    <row r="488" spans="1:27" ht="15.7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</row>
    <row r="489" spans="1:27" ht="15.7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</row>
    <row r="490" spans="1:27" ht="15.7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</row>
    <row r="491" spans="1:27" ht="15.7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</row>
    <row r="492" spans="1:27" ht="15.7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</row>
    <row r="493" spans="1:27" ht="15.7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</row>
    <row r="494" spans="1:27" ht="15.7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</row>
    <row r="495" spans="1:27" ht="15.7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</row>
    <row r="496" spans="1:27" ht="15.7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</row>
    <row r="497" spans="1:27" ht="15.7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</row>
    <row r="498" spans="1:27" ht="15.7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</row>
    <row r="499" spans="1:27" ht="15.7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</row>
    <row r="500" spans="1:27" ht="15.7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</row>
    <row r="501" spans="1:27" ht="15.7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</row>
    <row r="502" spans="1:27" ht="15.7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</row>
    <row r="503" spans="1:27" ht="15.7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</row>
    <row r="504" spans="1:27" ht="15.7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</row>
    <row r="505" spans="1:27" ht="15.7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</row>
    <row r="506" spans="1:27" ht="15.7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</row>
    <row r="507" spans="1:27" ht="15.7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</row>
    <row r="508" spans="1:27" ht="15.7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</row>
    <row r="509" spans="1:27" ht="15.7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</row>
    <row r="510" spans="1:27" ht="15.7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</row>
    <row r="511" spans="1:27" ht="15.7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</row>
    <row r="512" spans="1:27" ht="15.7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</row>
    <row r="513" spans="1:27" ht="15.7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</row>
    <row r="514" spans="1:27" ht="15.7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</row>
    <row r="515" spans="1:27" ht="15.7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</row>
    <row r="516" spans="1:27" ht="15.7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</row>
    <row r="517" spans="1:27" ht="15.7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</row>
    <row r="518" spans="1:27" ht="15.7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</row>
    <row r="519" spans="1:27" ht="15.7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</row>
    <row r="520" spans="1:27" ht="15.7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</row>
    <row r="521" spans="1:27" ht="15.7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</row>
    <row r="522" spans="1:27" ht="15.7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</row>
    <row r="523" spans="1:27" ht="15.7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</row>
    <row r="524" spans="1:27" ht="15.7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</row>
    <row r="525" spans="1:27" ht="15.7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</row>
    <row r="526" spans="1:27" ht="15.7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</row>
    <row r="527" spans="1:27" ht="15.7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</row>
    <row r="528" spans="1:27" ht="15.7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</row>
    <row r="529" spans="1:27" ht="15.7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</row>
    <row r="530" spans="1:27" ht="15.7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</row>
    <row r="531" spans="1:27" ht="15.7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</row>
    <row r="532" spans="1:27" ht="15.7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</row>
    <row r="533" spans="1:27" ht="15.7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</row>
    <row r="534" spans="1:27" ht="15.7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</row>
    <row r="535" spans="1:27" ht="15.7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</row>
    <row r="536" spans="1:27" ht="15.7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</row>
    <row r="537" spans="1:27" ht="15.7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</row>
    <row r="538" spans="1:27" ht="15.7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</row>
    <row r="539" spans="1:27" ht="15.7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</row>
    <row r="540" spans="1:27" ht="15.7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</row>
    <row r="541" spans="1:27" ht="15.7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</row>
    <row r="542" spans="1:27" ht="15.7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</row>
    <row r="543" spans="1:27" ht="15.7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</row>
    <row r="544" spans="1:27" ht="15.7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</row>
    <row r="545" spans="1:27" ht="15.7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</row>
    <row r="546" spans="1:27" ht="15.7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</row>
    <row r="547" spans="1:27" ht="15.7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</row>
    <row r="548" spans="1:27" ht="15.7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</row>
    <row r="549" spans="1:27" ht="15.7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</row>
    <row r="550" spans="1:27" ht="15.7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</row>
    <row r="551" spans="1:27" ht="15.7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</row>
    <row r="552" spans="1:27" ht="15.7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</row>
    <row r="553" spans="1:27" ht="15.7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</row>
    <row r="554" spans="1:27" ht="15.7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</row>
    <row r="555" spans="1:27" ht="15.7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</row>
    <row r="556" spans="1:27" ht="15.7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</row>
    <row r="557" spans="1:27" ht="15.7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</row>
    <row r="558" spans="1:27" ht="15.7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</row>
    <row r="559" spans="1:27" ht="15.7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</row>
    <row r="560" spans="1:27" ht="15.7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</row>
    <row r="561" spans="1:27" ht="15.7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</row>
    <row r="562" spans="1:27" ht="15.7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</row>
    <row r="563" spans="1:27" ht="15.7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</row>
    <row r="564" spans="1:27" ht="15.7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</row>
    <row r="565" spans="1:27" ht="15.7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</row>
    <row r="566" spans="1:27" ht="15.7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</row>
    <row r="567" spans="1:27" ht="15.7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</row>
    <row r="568" spans="1:27" ht="15.7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</row>
    <row r="569" spans="1:27" ht="15.7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</row>
    <row r="570" spans="1:27" ht="15.7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</row>
    <row r="571" spans="1:27" ht="15.7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</row>
    <row r="572" spans="1:27" ht="15.7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</row>
    <row r="573" spans="1:27" ht="15.7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</row>
    <row r="574" spans="1:27" ht="15.7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</row>
    <row r="575" spans="1:27" ht="15.7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</row>
    <row r="576" spans="1:27" ht="15.7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</row>
    <row r="577" spans="1:27" ht="15.7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</row>
    <row r="578" spans="1:27" ht="15.7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</row>
    <row r="579" spans="1:27" ht="15.7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</row>
    <row r="580" spans="1:27" ht="15.7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</row>
    <row r="581" spans="1:27" ht="15.7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</row>
    <row r="582" spans="1:27" ht="15.7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</row>
    <row r="583" spans="1:27" ht="15.7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</row>
    <row r="584" spans="1:27" ht="15.7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</row>
    <row r="585" spans="1:27" ht="15.7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</row>
    <row r="586" spans="1:27" ht="15.7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</row>
    <row r="587" spans="1:27" ht="15.7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</row>
    <row r="588" spans="1:27" ht="15.7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</row>
    <row r="589" spans="1:27" ht="15.7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</row>
    <row r="590" spans="1:27" ht="15.7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</row>
    <row r="591" spans="1:27" ht="15.7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</row>
    <row r="592" spans="1:27" ht="15.7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</row>
    <row r="593" spans="1:27" ht="15.7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</row>
    <row r="594" spans="1:27" ht="15.7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</row>
    <row r="595" spans="1:27" ht="15.7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</row>
    <row r="596" spans="1:27" ht="15.7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</row>
    <row r="597" spans="1:27" ht="15.7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</row>
    <row r="598" spans="1:27" ht="15.7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</row>
    <row r="599" spans="1:27" ht="15.7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</row>
    <row r="600" spans="1:27" ht="15.7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</row>
    <row r="601" spans="1:27" ht="15.7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</row>
    <row r="602" spans="1:27" ht="15.7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</row>
    <row r="603" spans="1:27" ht="15.7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</row>
    <row r="604" spans="1:27" ht="15.7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</row>
    <row r="605" spans="1:27" ht="15.7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</row>
    <row r="606" spans="1:27" ht="15.7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</row>
    <row r="607" spans="1:27" ht="15.7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</row>
    <row r="608" spans="1:27" ht="15.7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</row>
    <row r="609" spans="1:27" ht="15.7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</row>
    <row r="610" spans="1:27" ht="15.7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</row>
    <row r="611" spans="1:27" ht="15.7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</row>
    <row r="612" spans="1:27" ht="15.7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</row>
    <row r="613" spans="1:27" ht="15.7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</row>
    <row r="614" spans="1:27" ht="15.7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</row>
    <row r="615" spans="1:27" ht="15.7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</row>
    <row r="616" spans="1:27" ht="15.7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</row>
    <row r="617" spans="1:27" ht="15.7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</row>
    <row r="618" spans="1:27" ht="15.7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</row>
    <row r="619" spans="1:27" ht="15.7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</row>
    <row r="620" spans="1:27" ht="15.7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</row>
    <row r="621" spans="1:27" ht="15.7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</row>
    <row r="622" spans="1:27" ht="15.7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</row>
    <row r="623" spans="1:27" ht="15.7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</row>
    <row r="624" spans="1:27" ht="15.7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</row>
    <row r="625" spans="1:27" ht="15.7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</row>
    <row r="626" spans="1:27" ht="15.7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</row>
    <row r="627" spans="1:27" ht="15.7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</row>
    <row r="628" spans="1:27" ht="15.7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</row>
    <row r="629" spans="1:27" ht="15.7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</row>
    <row r="630" spans="1:27" ht="15.7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</row>
    <row r="631" spans="1:27" ht="15.7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</row>
    <row r="632" spans="1:27" ht="15.7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</row>
    <row r="633" spans="1:27" ht="15.7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</row>
    <row r="634" spans="1:27" ht="15.7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</row>
    <row r="635" spans="1:27" ht="15.7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</row>
    <row r="636" spans="1:27" ht="15.7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</row>
    <row r="637" spans="1:27" ht="15.7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</row>
    <row r="638" spans="1:27" ht="15.7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</row>
    <row r="639" spans="1:27" ht="15.7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</row>
    <row r="640" spans="1:27" ht="15.7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</row>
    <row r="641" spans="1:27" ht="15.7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</row>
    <row r="642" spans="1:27" ht="15.7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</row>
    <row r="643" spans="1:27" ht="15.7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</row>
    <row r="644" spans="1:27" ht="15.7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</row>
    <row r="645" spans="1:27" ht="15.7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</row>
    <row r="646" spans="1:27" ht="15.7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</row>
    <row r="647" spans="1:27" ht="15.7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</row>
    <row r="648" spans="1:27" ht="15.7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</row>
    <row r="649" spans="1:27" ht="15.7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</row>
    <row r="650" spans="1:27" ht="15.7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</row>
    <row r="651" spans="1:27" ht="15.7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</row>
    <row r="652" spans="1:27" ht="15.7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</row>
    <row r="653" spans="1:27" ht="15.7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</row>
    <row r="654" spans="1:27" ht="15.7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</row>
    <row r="655" spans="1:27" ht="15.7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</row>
    <row r="656" spans="1:27" ht="15.7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</row>
    <row r="657" spans="1:27" ht="15.7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</row>
    <row r="658" spans="1:27" ht="15.7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</row>
    <row r="659" spans="1:27" ht="15.7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</row>
    <row r="660" spans="1:27" ht="15.7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</row>
    <row r="661" spans="1:27" ht="15.7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</row>
    <row r="662" spans="1:27" ht="15.7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</row>
    <row r="663" spans="1:27" ht="15.7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</row>
    <row r="664" spans="1:27" ht="15.7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</row>
    <row r="665" spans="1:27" ht="15.7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</row>
    <row r="666" spans="1:27" ht="15.7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</row>
    <row r="667" spans="1:27" ht="15.7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</row>
    <row r="668" spans="1:27" ht="15.7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</row>
    <row r="669" spans="1:27" ht="15.7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</row>
    <row r="670" spans="1:27" ht="15.7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</row>
    <row r="671" spans="1:27" ht="15.7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</row>
    <row r="672" spans="1:27" ht="15.7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</row>
    <row r="673" spans="1:27" ht="15.7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</row>
    <row r="674" spans="1:27" ht="15.7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</row>
    <row r="675" spans="1:27" ht="15.7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</row>
    <row r="676" spans="1:27" ht="15.7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</row>
    <row r="677" spans="1:27" ht="15.7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</row>
    <row r="678" spans="1:27" ht="15.7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</row>
    <row r="679" spans="1:27" ht="15.7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</row>
    <row r="680" spans="1:27" ht="15.7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</row>
    <row r="681" spans="1:27" ht="15.7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</row>
    <row r="682" spans="1:27" ht="15.7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</row>
    <row r="683" spans="1:27" ht="15.7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</row>
    <row r="684" spans="1:27" ht="15.7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</row>
    <row r="685" spans="1:27" ht="15.7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</row>
    <row r="686" spans="1:27" ht="15.7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</row>
    <row r="687" spans="1:27" ht="15.7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</row>
    <row r="688" spans="1:27" ht="15.7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</row>
    <row r="689" spans="1:27" ht="15.7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</row>
    <row r="690" spans="1:27" ht="15.7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</row>
    <row r="691" spans="1:27" ht="15.7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</row>
    <row r="692" spans="1:27" ht="15.7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</row>
    <row r="693" spans="1:27" ht="15.7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</row>
    <row r="694" spans="1:27" ht="15.7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</row>
    <row r="695" spans="1:27" ht="15.7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</row>
    <row r="696" spans="1:27" ht="15.7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</row>
    <row r="697" spans="1:27" ht="15.7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</row>
    <row r="698" spans="1:27" ht="15.7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</row>
    <row r="699" spans="1:27" ht="15.7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</row>
    <row r="700" spans="1:27" ht="15.7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</row>
    <row r="701" spans="1:27" ht="15.7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</row>
    <row r="702" spans="1:27" ht="15.7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</row>
    <row r="703" spans="1:27" ht="15.7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</row>
    <row r="704" spans="1:27" ht="15.7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</row>
    <row r="705" spans="1:27" ht="15.7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</row>
    <row r="706" spans="1:27" ht="15.7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</row>
    <row r="707" spans="1:27" ht="15.7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</row>
    <row r="708" spans="1:27" ht="15.7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</row>
    <row r="709" spans="1:27" ht="15.7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</row>
    <row r="710" spans="1:27" ht="15.7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</row>
    <row r="711" spans="1:27" ht="15.7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</row>
    <row r="712" spans="1:27" ht="15.7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</row>
    <row r="713" spans="1:27" ht="15.7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</row>
    <row r="714" spans="1:27" ht="15.7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</row>
    <row r="715" spans="1:27" ht="15.7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</row>
    <row r="716" spans="1:27" ht="15.7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</row>
    <row r="717" spans="1:27" ht="15.7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</row>
    <row r="718" spans="1:27" ht="15.7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</row>
    <row r="719" spans="1:27" ht="15.7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</row>
    <row r="720" spans="1:27" ht="15.7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</row>
    <row r="721" spans="1:27" ht="15.7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</row>
    <row r="722" spans="1:27" ht="15.7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</row>
    <row r="723" spans="1:27" ht="15.7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</row>
    <row r="724" spans="1:27" ht="15.7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</row>
    <row r="725" spans="1:27" ht="15.7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</row>
    <row r="726" spans="1:27" ht="15.7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</row>
    <row r="727" spans="1:27" ht="15.7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</row>
    <row r="728" spans="1:27" ht="15.7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</row>
    <row r="729" spans="1:27" ht="15.7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</row>
    <row r="730" spans="1:27" ht="15.7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</row>
    <row r="731" spans="1:27" ht="15.7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</row>
    <row r="732" spans="1:27" ht="15.7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</row>
    <row r="733" spans="1:27" ht="15.7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</row>
    <row r="734" spans="1:27" ht="15.7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</row>
    <row r="735" spans="1:27" ht="15.7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</row>
    <row r="736" spans="1:27" ht="15.7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</row>
    <row r="737" spans="1:27" ht="15.7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</row>
    <row r="738" spans="1:27" ht="15.7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</row>
    <row r="739" spans="1:27" ht="15.7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</row>
    <row r="740" spans="1:27" ht="15.7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</row>
    <row r="741" spans="1:27" ht="15.7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</row>
    <row r="742" spans="1:27" ht="15.7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</row>
    <row r="743" spans="1:27" ht="15.7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</row>
    <row r="744" spans="1:27" ht="15.7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</row>
    <row r="745" spans="1:27" ht="15.7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</row>
    <row r="746" spans="1:27" ht="15.7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</row>
    <row r="747" spans="1:27" ht="15.7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</row>
    <row r="748" spans="1:27" ht="15.7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</row>
    <row r="749" spans="1:27" ht="15.7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</row>
    <row r="750" spans="1:27" ht="15.7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</row>
    <row r="751" spans="1:27" ht="15.7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</row>
    <row r="752" spans="1:27" ht="15.7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</row>
    <row r="753" spans="1:27" ht="15.7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</row>
    <row r="754" spans="1:27" ht="15.7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</row>
    <row r="755" spans="1:27" ht="15.7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</row>
    <row r="756" spans="1:27" ht="15.7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</row>
    <row r="757" spans="1:27" ht="15.7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</row>
    <row r="758" spans="1:27" ht="15.7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</row>
    <row r="759" spans="1:27" ht="15.7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</row>
    <row r="760" spans="1:27" ht="15.7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</row>
    <row r="761" spans="1:27" ht="15.7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</row>
    <row r="762" spans="1:27" ht="15.7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</row>
    <row r="763" spans="1:27" ht="15.7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</row>
    <row r="764" spans="1:27" ht="15.7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</row>
    <row r="765" spans="1:27" ht="15.7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</row>
    <row r="766" spans="1:27" ht="15.7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</row>
    <row r="767" spans="1:27" ht="15.7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</row>
    <row r="768" spans="1:27" ht="15.7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</row>
    <row r="769" spans="1:27" ht="15.7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</row>
    <row r="770" spans="1:27" ht="15.7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</row>
    <row r="771" spans="1:27" ht="15.7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</row>
    <row r="772" spans="1:27" ht="15.7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</row>
    <row r="773" spans="1:27" ht="15.7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</row>
    <row r="774" spans="1:27" ht="15.7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</row>
    <row r="775" spans="1:27" ht="15.7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</row>
    <row r="776" spans="1:27" ht="15.7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</row>
    <row r="777" spans="1:27" ht="15.7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</row>
    <row r="778" spans="1:27" ht="15.7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</row>
    <row r="779" spans="1:27" ht="15.7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</row>
    <row r="780" spans="1:27" ht="15.7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</row>
    <row r="781" spans="1:27" ht="15.7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</row>
    <row r="782" spans="1:27" ht="15.7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</row>
    <row r="783" spans="1:27" ht="15.7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</row>
    <row r="784" spans="1:27" ht="15.7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</row>
    <row r="785" spans="1:27" ht="15.7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</row>
    <row r="786" spans="1:27" ht="15.7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</row>
    <row r="787" spans="1:27" ht="15.7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</row>
    <row r="788" spans="1:27" ht="15.7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</row>
    <row r="789" spans="1:27" ht="15.7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</row>
    <row r="790" spans="1:27" ht="15.7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</row>
    <row r="791" spans="1:27" ht="15.7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</row>
    <row r="792" spans="1:27" ht="15.7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</row>
    <row r="793" spans="1:27" ht="15.7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</row>
    <row r="794" spans="1:27" ht="15.7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</row>
    <row r="795" spans="1:27" ht="15.7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</row>
    <row r="796" spans="1:27" ht="15.7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</row>
    <row r="797" spans="1:27" ht="15.7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</row>
    <row r="798" spans="1:27" ht="15.7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</row>
    <row r="799" spans="1:27" ht="15.7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</row>
    <row r="800" spans="1:27" ht="15.7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</row>
    <row r="801" spans="1:27" ht="15.7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</row>
    <row r="802" spans="1:27" ht="15.7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</row>
    <row r="803" spans="1:27" ht="15.7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</row>
    <row r="804" spans="1:27" ht="15.7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</row>
    <row r="805" spans="1:27" ht="15.7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</row>
    <row r="806" spans="1:27" ht="15.7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</row>
    <row r="807" spans="1:27" ht="15.7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</row>
    <row r="808" spans="1:27" ht="15.7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</row>
    <row r="809" spans="1:27" ht="15.7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</row>
    <row r="810" spans="1:27" ht="15.7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</row>
    <row r="811" spans="1:27" ht="15.7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</row>
    <row r="812" spans="1:27" ht="15.7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</row>
    <row r="813" spans="1:27" ht="15.7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</row>
    <row r="814" spans="1:27" ht="15.7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</row>
    <row r="815" spans="1:27" ht="15.7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</row>
    <row r="816" spans="1:27" ht="15.7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</row>
    <row r="817" spans="1:27" ht="15.7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</row>
    <row r="818" spans="1:27" ht="15.7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</row>
    <row r="819" spans="1:27" ht="15.7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</row>
    <row r="820" spans="1:27" ht="15.7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</row>
    <row r="821" spans="1:27" ht="15.7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</row>
    <row r="822" spans="1:27" ht="15.7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</row>
    <row r="823" spans="1:27" ht="15.7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</row>
    <row r="824" spans="1:27" ht="15.7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</row>
    <row r="825" spans="1:27" ht="15.7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</row>
    <row r="826" spans="1:27" ht="15.7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</row>
    <row r="827" spans="1:27" ht="15.7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</row>
    <row r="828" spans="1:27" ht="15.7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</row>
    <row r="829" spans="1:27" ht="15.7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</row>
    <row r="830" spans="1:27" ht="15.7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</row>
    <row r="831" spans="1:27" ht="15.7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</row>
    <row r="832" spans="1:27" ht="15.7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</row>
    <row r="833" spans="1:27" ht="15.7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</row>
    <row r="834" spans="1:27" ht="15.7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</row>
    <row r="835" spans="1:27" ht="15.7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</row>
    <row r="836" spans="1:27" ht="15.7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</row>
    <row r="837" spans="1:27" ht="15.7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</row>
    <row r="838" spans="1:27" ht="15.7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</row>
    <row r="839" spans="1:27" ht="15.7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</row>
    <row r="840" spans="1:27" ht="15.7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</row>
    <row r="841" spans="1:27" ht="15.7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</row>
    <row r="842" spans="1:27" ht="15.7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</row>
    <row r="843" spans="1:27" ht="15.7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</row>
    <row r="844" spans="1:27" ht="15.7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</row>
    <row r="845" spans="1:27" ht="15.7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</row>
    <row r="846" spans="1:27" ht="15.7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</row>
    <row r="847" spans="1:27" ht="15.7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</row>
    <row r="848" spans="1:27" ht="15.7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</row>
    <row r="849" spans="1:27" ht="15.7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</row>
    <row r="850" spans="1:27" ht="15.7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</row>
    <row r="851" spans="1:27" ht="15.7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</row>
    <row r="852" spans="1:27" ht="15.7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</row>
    <row r="853" spans="1:27" ht="15.7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</row>
    <row r="854" spans="1:27" ht="15.7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</row>
    <row r="855" spans="1:27" ht="15.7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</row>
    <row r="856" spans="1:27" ht="15.7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</row>
    <row r="857" spans="1:27" ht="15.7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</row>
    <row r="858" spans="1:27" ht="15.7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</row>
    <row r="859" spans="1:27" ht="15.7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</row>
    <row r="860" spans="1:27" ht="15.7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</row>
    <row r="861" spans="1:27" ht="15.7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</row>
    <row r="862" spans="1:27" ht="15.7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</row>
    <row r="863" spans="1:27" ht="15.7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</row>
    <row r="864" spans="1:27" ht="15.7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</row>
    <row r="865" spans="1:27" ht="15.7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</row>
    <row r="866" spans="1:27" ht="15.7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</row>
    <row r="867" spans="1:27" ht="15.7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</row>
    <row r="868" spans="1:27" ht="15.7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</row>
    <row r="869" spans="1:27" ht="15.7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</row>
    <row r="870" spans="1:27" ht="15.7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</row>
    <row r="871" spans="1:27" ht="15.7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</row>
    <row r="872" spans="1:27" ht="15.7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</row>
    <row r="873" spans="1:27" ht="15.7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</row>
    <row r="874" spans="1:27" ht="15.7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</row>
    <row r="875" spans="1:27" ht="15.7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</row>
    <row r="876" spans="1:27" ht="15.7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</row>
    <row r="877" spans="1:27" ht="15.7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</row>
    <row r="878" spans="1:27" ht="15.7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</row>
    <row r="879" spans="1:27" ht="15.7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</row>
    <row r="880" spans="1:27" ht="15.7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</row>
    <row r="881" spans="1:27" ht="15.7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</row>
    <row r="882" spans="1:27" ht="15.7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</row>
    <row r="883" spans="1:27" ht="15.7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</row>
    <row r="884" spans="1:27" ht="15.7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</row>
    <row r="885" spans="1:27" ht="15.7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</row>
    <row r="886" spans="1:27" ht="15.7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</row>
    <row r="887" spans="1:27" ht="15.7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</row>
    <row r="888" spans="1:27" ht="15.7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</row>
    <row r="889" spans="1:27" ht="15.7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</row>
    <row r="890" spans="1:27" ht="15.7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</row>
    <row r="891" spans="1:27" ht="15.7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</row>
    <row r="892" spans="1:27" ht="15.7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</row>
    <row r="893" spans="1:27" ht="15.7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</row>
    <row r="894" spans="1:27" ht="15.7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</row>
    <row r="895" spans="1:27" ht="15.7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</row>
    <row r="896" spans="1:27" ht="15.7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</row>
    <row r="897" spans="1:27" ht="15.7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</row>
    <row r="898" spans="1:27" ht="15.7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</row>
    <row r="899" spans="1:27" ht="15.7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</row>
    <row r="900" spans="1:27" ht="15.7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</row>
    <row r="901" spans="1:27" ht="15.7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</row>
    <row r="902" spans="1:27" ht="15.7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</row>
    <row r="903" spans="1:27" ht="15.7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</row>
    <row r="904" spans="1:27" ht="15.7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</row>
    <row r="905" spans="1:27" ht="15.7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</row>
    <row r="906" spans="1:27" ht="15.7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</row>
    <row r="907" spans="1:27" ht="15.7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</row>
    <row r="908" spans="1:27" ht="15.7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</row>
    <row r="909" spans="1:27" ht="15.7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</row>
    <row r="910" spans="1:27" ht="15.7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</row>
    <row r="911" spans="1:27" ht="15.7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</row>
    <row r="912" spans="1:27" ht="15.7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</row>
    <row r="913" spans="1:27" ht="15.7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</row>
    <row r="914" spans="1:27" ht="15.7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</row>
    <row r="915" spans="1:27" ht="15.7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</row>
    <row r="916" spans="1:27" ht="15.7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</row>
    <row r="917" spans="1:27" ht="15.7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</row>
    <row r="918" spans="1:27" ht="15.7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</row>
    <row r="919" spans="1:27" ht="15.7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</row>
    <row r="920" spans="1:27" ht="15.7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</row>
    <row r="921" spans="1:27" ht="15.7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</row>
    <row r="922" spans="1:27" ht="15.7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</row>
    <row r="923" spans="1:27" ht="15.7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</row>
    <row r="924" spans="1:27" ht="15.7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</row>
    <row r="925" spans="1:27" ht="15.7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</row>
    <row r="926" spans="1:27" ht="15.7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</row>
    <row r="927" spans="1:27" ht="15.7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</row>
    <row r="928" spans="1:27" ht="15.7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</row>
    <row r="929" spans="1:27" ht="15.7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</row>
    <row r="930" spans="1:27" ht="15.7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</row>
    <row r="931" spans="1:27" ht="15.7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</row>
    <row r="932" spans="1:27" ht="15.7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</row>
    <row r="933" spans="1:27" ht="15.7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</row>
    <row r="934" spans="1:27" ht="15.7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</row>
    <row r="935" spans="1:27" ht="15.7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</row>
    <row r="936" spans="1:27" ht="15.7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</row>
    <row r="937" spans="1:27" ht="15.7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</row>
    <row r="938" spans="1:27" ht="15.7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</row>
    <row r="939" spans="1:27" ht="15.7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</row>
    <row r="940" spans="1:27" ht="15.7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</row>
    <row r="941" spans="1:27" ht="15.7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</row>
    <row r="942" spans="1:27" ht="15.7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</row>
    <row r="943" spans="1:27" ht="15.7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</row>
    <row r="944" spans="1:27" ht="15.7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</row>
    <row r="945" spans="1:27" ht="15.7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</row>
    <row r="946" spans="1:27" ht="15.7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</row>
    <row r="947" spans="1:27" ht="15.7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</row>
    <row r="948" spans="1:27" ht="15.7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</row>
    <row r="949" spans="1:27" ht="15.7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</row>
    <row r="950" spans="1:27" ht="15.7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</row>
    <row r="951" spans="1:27" ht="15.7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</row>
    <row r="952" spans="1:27" ht="15.7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</row>
    <row r="953" spans="1:27" ht="15.7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</row>
    <row r="954" spans="1:27" ht="15.7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</row>
    <row r="955" spans="1:27" ht="15.7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</row>
    <row r="956" spans="1:27" ht="15.7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</row>
    <row r="957" spans="1:27" ht="15.7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</row>
    <row r="958" spans="1:27" ht="15.7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</row>
    <row r="959" spans="1:27" ht="15.7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</row>
    <row r="960" spans="1:27" ht="15.7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</row>
    <row r="961" spans="1:27" ht="15.7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</row>
    <row r="962" spans="1:27" ht="15.7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</row>
    <row r="963" spans="1:27" ht="15.7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</row>
    <row r="964" spans="1:27" ht="15.7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</row>
    <row r="965" spans="1:27" ht="15.7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</row>
    <row r="966" spans="1:27" ht="15.7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</row>
    <row r="967" spans="1:27" ht="15.7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</row>
    <row r="968" spans="1:27" ht="15.7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</row>
    <row r="969" spans="1:27" ht="15.7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</row>
    <row r="970" spans="1:27" ht="15.7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</row>
    <row r="971" spans="1:27" ht="15.7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</row>
    <row r="972" spans="1:27" ht="15.7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</row>
    <row r="973" spans="1:27" ht="15.7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</row>
    <row r="974" spans="1:27" ht="15.7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</row>
    <row r="975" spans="1:27" ht="15.7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</row>
    <row r="976" spans="1:27" ht="15.7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</row>
    <row r="977" spans="1:27" ht="15.7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</row>
    <row r="978" spans="1:27" ht="15.7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</row>
    <row r="979" spans="1:27" ht="15.7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</row>
    <row r="980" spans="1:27" ht="15.7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</row>
    <row r="981" spans="1:27" ht="15.7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</row>
    <row r="982" spans="1:27" ht="15.7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</row>
    <row r="983" spans="1:27" ht="15.7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</row>
    <row r="984" spans="1:27" ht="15.7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</row>
    <row r="985" spans="1:27" ht="15.7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</row>
    <row r="986" spans="1:27" ht="15.7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</row>
    <row r="987" spans="1:27" ht="15.7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</row>
    <row r="988" spans="1:27" ht="15.7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</row>
    <row r="989" spans="1:27" ht="15.7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</row>
    <row r="990" spans="1:27" ht="15.7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</row>
    <row r="991" spans="1:27" ht="15.7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</row>
    <row r="992" spans="1:27" ht="15.7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</row>
    <row r="993" spans="1:27" ht="15.7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</row>
    <row r="994" spans="1:27" ht="15.7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</row>
    <row r="995" spans="1:27" ht="15.7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</row>
    <row r="996" spans="1:27" ht="15.7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</row>
    <row r="997" spans="1:27" ht="15.7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</row>
    <row r="998" spans="1:27" ht="15.7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</row>
    <row r="999" spans="1:27" ht="15.7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</row>
    <row r="1000" spans="1:27" ht="15.7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</row>
  </sheetData>
  <mergeCells count="24"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O3:O4"/>
    <mergeCell ref="P3:P4"/>
    <mergeCell ref="Q3:Q4"/>
    <mergeCell ref="R3:R4"/>
    <mergeCell ref="S3:S4"/>
    <mergeCell ref="A28:D28"/>
    <mergeCell ref="A30:D30"/>
    <mergeCell ref="A31:D31"/>
    <mergeCell ref="L3:M3"/>
    <mergeCell ref="N3:N4"/>
    <mergeCell ref="G3:G4"/>
    <mergeCell ref="H3:K3"/>
    <mergeCell ref="A14:E14"/>
    <mergeCell ref="A15:E15"/>
    <mergeCell ref="A16:A26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6"/>
  <sheetViews>
    <sheetView workbookViewId="0"/>
  </sheetViews>
  <sheetFormatPr defaultColWidth="12.59765625" defaultRowHeight="15" customHeight="1" outlineLevelRow="1"/>
  <cols>
    <col min="1" max="1" width="7.8984375" customWidth="1"/>
    <col min="2" max="2" width="25.09765625" customWidth="1"/>
    <col min="3" max="3" width="14.19921875" customWidth="1"/>
    <col min="4" max="4" width="15.5" customWidth="1"/>
    <col min="5" max="5" width="12.5" customWidth="1"/>
    <col min="6" max="6" width="16.59765625" customWidth="1"/>
    <col min="7" max="7" width="8.69921875" customWidth="1"/>
    <col min="8" max="8" width="7.5" customWidth="1"/>
    <col min="9" max="9" width="8.59765625" customWidth="1"/>
    <col min="10" max="10" width="15.19921875" customWidth="1"/>
    <col min="11" max="11" width="13.59765625" customWidth="1"/>
    <col min="12" max="12" width="12.59765625" customWidth="1"/>
    <col min="13" max="13" width="13.59765625" customWidth="1"/>
    <col min="14" max="14" width="6.19921875" customWidth="1"/>
    <col min="15" max="15" width="8.69921875" customWidth="1"/>
    <col min="16" max="16" width="9.69921875" customWidth="1"/>
    <col min="17" max="17" width="11.69921875" customWidth="1"/>
    <col min="18" max="18" width="9.19921875" customWidth="1"/>
    <col min="19" max="19" width="11.69921875" customWidth="1"/>
    <col min="20" max="20" width="12.3984375" customWidth="1"/>
    <col min="21" max="21" width="30.3984375" customWidth="1"/>
    <col min="22" max="27" width="7.59765625" customWidth="1"/>
  </cols>
  <sheetData>
    <row r="1" spans="1:27" ht="13.8">
      <c r="A1" s="17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7"/>
      <c r="V1" s="1"/>
      <c r="W1" s="1"/>
      <c r="X1" s="1"/>
      <c r="Y1" s="1"/>
      <c r="Z1" s="1"/>
      <c r="AA1" s="1"/>
    </row>
    <row r="2" spans="1:27" ht="13.8">
      <c r="A2" s="176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70"/>
      <c r="V2" s="1"/>
      <c r="W2" s="1"/>
      <c r="X2" s="1"/>
      <c r="Y2" s="1"/>
      <c r="Z2" s="1"/>
      <c r="AA2" s="1"/>
    </row>
    <row r="3" spans="1:27" ht="13.8">
      <c r="A3" s="160" t="s">
        <v>1</v>
      </c>
      <c r="B3" s="160" t="s">
        <v>2</v>
      </c>
      <c r="C3" s="160" t="s">
        <v>3</v>
      </c>
      <c r="D3" s="160" t="s">
        <v>4</v>
      </c>
      <c r="E3" s="160" t="s">
        <v>5</v>
      </c>
      <c r="F3" s="160" t="s">
        <v>6</v>
      </c>
      <c r="G3" s="160" t="s">
        <v>7</v>
      </c>
      <c r="H3" s="162" t="s">
        <v>8</v>
      </c>
      <c r="I3" s="163"/>
      <c r="J3" s="163"/>
      <c r="K3" s="164"/>
      <c r="L3" s="162" t="s">
        <v>9</v>
      </c>
      <c r="M3" s="164"/>
      <c r="N3" s="160" t="s">
        <v>10</v>
      </c>
      <c r="O3" s="160" t="s">
        <v>11</v>
      </c>
      <c r="P3" s="160" t="s">
        <v>12</v>
      </c>
      <c r="Q3" s="160" t="s">
        <v>13</v>
      </c>
      <c r="R3" s="160" t="s">
        <v>14</v>
      </c>
      <c r="S3" s="160" t="s">
        <v>15</v>
      </c>
      <c r="T3" s="160" t="s">
        <v>16</v>
      </c>
      <c r="U3" s="160" t="s">
        <v>17</v>
      </c>
      <c r="V3" s="2"/>
      <c r="W3" s="2"/>
      <c r="X3" s="2"/>
      <c r="Y3" s="2"/>
      <c r="Z3" s="2"/>
      <c r="AA3" s="2"/>
    </row>
    <row r="4" spans="1:27" ht="13.8">
      <c r="A4" s="161"/>
      <c r="B4" s="161"/>
      <c r="C4" s="161"/>
      <c r="D4" s="161"/>
      <c r="E4" s="161"/>
      <c r="F4" s="161"/>
      <c r="G4" s="161"/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21</v>
      </c>
      <c r="N4" s="161"/>
      <c r="O4" s="161"/>
      <c r="P4" s="161"/>
      <c r="Q4" s="161"/>
      <c r="R4" s="161"/>
      <c r="S4" s="161"/>
      <c r="T4" s="161"/>
      <c r="U4" s="161"/>
      <c r="V4" s="2"/>
      <c r="W4" s="2"/>
      <c r="X4" s="2"/>
      <c r="Y4" s="2"/>
      <c r="Z4" s="2"/>
      <c r="AA4" s="2"/>
    </row>
    <row r="5" spans="1:27" ht="13.8">
      <c r="A5" s="94" t="s">
        <v>23</v>
      </c>
      <c r="B5" s="95"/>
      <c r="C5" s="6"/>
      <c r="D5" s="7"/>
      <c r="E5" s="11">
        <v>3500000</v>
      </c>
      <c r="F5" s="11"/>
      <c r="G5" s="10"/>
      <c r="H5" s="11"/>
      <c r="I5" s="11"/>
      <c r="J5" s="11">
        <v>4000</v>
      </c>
      <c r="K5" s="11">
        <f t="shared" ref="K5:K10" si="0">(I5-H5)*J5</f>
        <v>0</v>
      </c>
      <c r="L5" s="11">
        <v>100000</v>
      </c>
      <c r="M5" s="11">
        <f t="shared" ref="M5:M10" si="1">L5*G5</f>
        <v>0</v>
      </c>
      <c r="N5" s="11"/>
      <c r="O5" s="11"/>
      <c r="P5" s="11"/>
      <c r="Q5" s="11">
        <f>F5+K5+M5+O5+P5</f>
        <v>0</v>
      </c>
      <c r="R5" s="12"/>
      <c r="S5" s="13">
        <f t="shared" ref="S5:S10" si="2">Q5-R5</f>
        <v>0</v>
      </c>
      <c r="T5" s="14">
        <f t="shared" ref="T5:T10" si="3">S5</f>
        <v>0</v>
      </c>
      <c r="U5" s="112"/>
      <c r="V5" s="1"/>
      <c r="W5" s="1"/>
      <c r="X5" s="1"/>
      <c r="Y5" s="1"/>
      <c r="Z5" s="1"/>
      <c r="AA5" s="1"/>
    </row>
    <row r="6" spans="1:27" ht="13.8">
      <c r="A6" s="94" t="s">
        <v>24</v>
      </c>
      <c r="B6" s="95" t="s">
        <v>25</v>
      </c>
      <c r="C6" s="96" t="s">
        <v>92</v>
      </c>
      <c r="D6" s="29" t="s">
        <v>26</v>
      </c>
      <c r="E6" s="23">
        <v>4000000</v>
      </c>
      <c r="F6" s="23">
        <v>3500000</v>
      </c>
      <c r="G6" s="30">
        <v>1</v>
      </c>
      <c r="H6" s="11">
        <v>3339</v>
      </c>
      <c r="I6" s="11">
        <v>3619</v>
      </c>
      <c r="J6" s="23">
        <v>4000</v>
      </c>
      <c r="K6" s="6">
        <f t="shared" si="0"/>
        <v>1120000</v>
      </c>
      <c r="L6" s="11">
        <v>100000</v>
      </c>
      <c r="M6" s="11">
        <f t="shared" si="1"/>
        <v>100000</v>
      </c>
      <c r="N6" s="13"/>
      <c r="O6" s="23">
        <v>100000</v>
      </c>
      <c r="P6" s="23">
        <v>200000</v>
      </c>
      <c r="Q6" s="11">
        <f t="shared" ref="Q6:Q7" si="4">F6+K6+M6+P6+O6</f>
        <v>5020000</v>
      </c>
      <c r="R6" s="23"/>
      <c r="S6" s="95">
        <f t="shared" si="2"/>
        <v>5020000</v>
      </c>
      <c r="T6" s="14">
        <f t="shared" si="3"/>
        <v>5020000</v>
      </c>
      <c r="U6" s="13"/>
      <c r="V6" s="1"/>
      <c r="W6" s="1"/>
      <c r="X6" s="1"/>
      <c r="Y6" s="1"/>
      <c r="Z6" s="1"/>
      <c r="AA6" s="1"/>
    </row>
    <row r="7" spans="1:27" ht="13.8">
      <c r="A7" s="94">
        <v>101</v>
      </c>
      <c r="B7" s="95" t="s">
        <v>28</v>
      </c>
      <c r="C7" s="6" t="s">
        <v>94</v>
      </c>
      <c r="D7" s="29" t="s">
        <v>29</v>
      </c>
      <c r="E7" s="13">
        <v>4800000</v>
      </c>
      <c r="F7" s="13">
        <v>4300000</v>
      </c>
      <c r="G7" s="30">
        <v>3</v>
      </c>
      <c r="H7" s="11">
        <v>1185</v>
      </c>
      <c r="I7" s="11">
        <v>1395</v>
      </c>
      <c r="J7" s="13">
        <v>4000</v>
      </c>
      <c r="K7" s="6">
        <f t="shared" si="0"/>
        <v>840000</v>
      </c>
      <c r="L7" s="11">
        <v>100000</v>
      </c>
      <c r="M7" s="11">
        <f t="shared" si="1"/>
        <v>300000</v>
      </c>
      <c r="N7" s="13"/>
      <c r="O7" s="13">
        <v>100000</v>
      </c>
      <c r="P7" s="13">
        <v>200000</v>
      </c>
      <c r="Q7" s="11">
        <f t="shared" si="4"/>
        <v>5740000</v>
      </c>
      <c r="R7" s="23"/>
      <c r="S7" s="95">
        <f t="shared" si="2"/>
        <v>5740000</v>
      </c>
      <c r="T7" s="14">
        <f t="shared" si="3"/>
        <v>5740000</v>
      </c>
      <c r="U7" s="13"/>
      <c r="V7" s="1"/>
      <c r="W7" s="1"/>
      <c r="X7" s="1"/>
      <c r="Y7" s="1"/>
      <c r="Z7" s="1"/>
      <c r="AA7" s="1"/>
    </row>
    <row r="8" spans="1:27" ht="13.8">
      <c r="A8" s="94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1">
        <v>3695</v>
      </c>
      <c r="I8" s="11">
        <v>4032</v>
      </c>
      <c r="J8" s="13">
        <v>4000</v>
      </c>
      <c r="K8" s="6">
        <f t="shared" si="0"/>
        <v>1348000</v>
      </c>
      <c r="L8" s="11">
        <v>100000</v>
      </c>
      <c r="M8" s="11">
        <f t="shared" si="1"/>
        <v>200000</v>
      </c>
      <c r="N8" s="13"/>
      <c r="O8" s="13"/>
      <c r="P8" s="13">
        <v>200000</v>
      </c>
      <c r="Q8" s="11">
        <f>F8+K8+M8+O8+P8</f>
        <v>5848000</v>
      </c>
      <c r="R8" s="23"/>
      <c r="S8" s="95">
        <f t="shared" si="2"/>
        <v>5848000</v>
      </c>
      <c r="T8" s="14">
        <f t="shared" si="3"/>
        <v>5848000</v>
      </c>
      <c r="U8" s="13"/>
      <c r="V8" s="1"/>
      <c r="W8" s="1"/>
      <c r="X8" s="1"/>
      <c r="Y8" s="1"/>
      <c r="Z8" s="1"/>
      <c r="AA8" s="1"/>
    </row>
    <row r="9" spans="1:27" ht="13.8">
      <c r="A9" s="94">
        <v>201</v>
      </c>
      <c r="B9" s="95" t="s">
        <v>34</v>
      </c>
      <c r="C9" s="94" t="s">
        <v>98</v>
      </c>
      <c r="D9" s="29" t="s">
        <v>35</v>
      </c>
      <c r="E9" s="13">
        <v>5100000</v>
      </c>
      <c r="F9" s="13">
        <v>4600000</v>
      </c>
      <c r="G9" s="30">
        <v>2</v>
      </c>
      <c r="H9" s="11">
        <v>2876</v>
      </c>
      <c r="I9" s="11">
        <v>3073</v>
      </c>
      <c r="J9" s="13">
        <v>4000</v>
      </c>
      <c r="K9" s="6">
        <f t="shared" si="0"/>
        <v>788000</v>
      </c>
      <c r="L9" s="11">
        <v>100000</v>
      </c>
      <c r="M9" s="11">
        <f t="shared" si="1"/>
        <v>200000</v>
      </c>
      <c r="N9" s="13"/>
      <c r="O9" s="13">
        <v>100000</v>
      </c>
      <c r="P9" s="13">
        <v>200000</v>
      </c>
      <c r="Q9" s="11">
        <f t="shared" ref="Q9:Q10" si="5">F9+K9+M9+P9+O9</f>
        <v>5888000</v>
      </c>
      <c r="R9" s="23"/>
      <c r="S9" s="95">
        <f t="shared" si="2"/>
        <v>5888000</v>
      </c>
      <c r="T9" s="14">
        <f t="shared" si="3"/>
        <v>5888000</v>
      </c>
      <c r="U9" s="13"/>
      <c r="V9" s="1"/>
      <c r="W9" s="1"/>
      <c r="X9" s="1"/>
      <c r="Y9" s="1"/>
      <c r="Z9" s="1"/>
      <c r="AA9" s="1"/>
    </row>
    <row r="10" spans="1:27" ht="13.8">
      <c r="A10" s="94">
        <v>202</v>
      </c>
      <c r="B10" s="95" t="s">
        <v>108</v>
      </c>
      <c r="C10" s="94" t="s">
        <v>109</v>
      </c>
      <c r="D10" s="29" t="s">
        <v>32</v>
      </c>
      <c r="E10" s="13">
        <v>5300000</v>
      </c>
      <c r="F10" s="95">
        <f>4052000-132000</f>
        <v>3920000</v>
      </c>
      <c r="G10" s="30"/>
      <c r="H10" s="11">
        <v>1293</v>
      </c>
      <c r="I10" s="11">
        <v>1326</v>
      </c>
      <c r="J10" s="13">
        <v>4000</v>
      </c>
      <c r="K10" s="6">
        <f t="shared" si="0"/>
        <v>132000</v>
      </c>
      <c r="L10" s="11">
        <v>100000</v>
      </c>
      <c r="M10" s="11">
        <f t="shared" si="1"/>
        <v>0</v>
      </c>
      <c r="N10" s="13"/>
      <c r="O10" s="13"/>
      <c r="P10" s="13"/>
      <c r="Q10" s="11">
        <f t="shared" si="5"/>
        <v>4052000</v>
      </c>
      <c r="R10" s="23"/>
      <c r="S10" s="13">
        <f t="shared" si="2"/>
        <v>4052000</v>
      </c>
      <c r="T10" s="14">
        <f t="shared" si="3"/>
        <v>4052000</v>
      </c>
      <c r="U10" s="113" t="s">
        <v>110</v>
      </c>
      <c r="V10" s="1"/>
      <c r="W10" s="1"/>
      <c r="X10" s="1"/>
      <c r="Y10" s="1"/>
      <c r="Z10" s="1"/>
      <c r="AA10" s="1"/>
    </row>
    <row r="11" spans="1:27" ht="13.8">
      <c r="A11" s="13"/>
      <c r="B11" s="31" t="s">
        <v>111</v>
      </c>
      <c r="C11" s="13"/>
      <c r="D11" s="29"/>
      <c r="E11" s="13"/>
      <c r="F11" s="13"/>
      <c r="G11" s="30"/>
      <c r="H11" s="23"/>
      <c r="I11" s="23"/>
      <c r="J11" s="13"/>
      <c r="K11" s="23"/>
      <c r="L11" s="23"/>
      <c r="M11" s="13"/>
      <c r="N11" s="13"/>
      <c r="O11" s="13"/>
      <c r="P11" s="13"/>
      <c r="Q11" s="23"/>
      <c r="R11" s="23"/>
      <c r="S11" s="13"/>
      <c r="T11" s="31">
        <v>2164000</v>
      </c>
      <c r="U11" s="13"/>
      <c r="V11" s="1"/>
      <c r="W11" s="1"/>
      <c r="X11" s="1"/>
      <c r="Y11" s="1"/>
      <c r="Z11" s="1"/>
      <c r="AA11" s="1"/>
    </row>
    <row r="12" spans="1:27" ht="15.6">
      <c r="A12" s="32"/>
      <c r="B12" s="33" t="s">
        <v>38</v>
      </c>
      <c r="C12" s="33"/>
      <c r="D12" s="34"/>
      <c r="E12" s="35">
        <f t="shared" ref="E12:G12" si="6">SUM(E5:E11)</f>
        <v>27300000</v>
      </c>
      <c r="F12" s="35">
        <f t="shared" si="6"/>
        <v>20420000</v>
      </c>
      <c r="G12" s="36">
        <f t="shared" si="6"/>
        <v>8</v>
      </c>
      <c r="H12" s="35"/>
      <c r="I12" s="35"/>
      <c r="J12" s="35"/>
      <c r="K12" s="35">
        <f>SUM(K5:K10)</f>
        <v>4228000</v>
      </c>
      <c r="L12" s="35"/>
      <c r="M12" s="35">
        <f t="shared" ref="M12:P12" si="7">SUM(M5:M11)</f>
        <v>800000</v>
      </c>
      <c r="N12" s="32">
        <f t="shared" si="7"/>
        <v>0</v>
      </c>
      <c r="O12" s="32">
        <f t="shared" si="7"/>
        <v>300000</v>
      </c>
      <c r="P12" s="35">
        <f t="shared" si="7"/>
        <v>800000</v>
      </c>
      <c r="Q12" s="35">
        <f t="shared" ref="Q12:S12" si="8">SUM(Q5:Q10)</f>
        <v>26548000</v>
      </c>
      <c r="R12" s="35">
        <f t="shared" si="8"/>
        <v>0</v>
      </c>
      <c r="S12" s="32">
        <f t="shared" si="8"/>
        <v>26548000</v>
      </c>
      <c r="T12" s="32">
        <f>SUM(T5:T11)</f>
        <v>28712000</v>
      </c>
      <c r="U12" s="32"/>
      <c r="V12" s="37"/>
      <c r="W12" s="37"/>
      <c r="X12" s="37"/>
      <c r="Y12" s="37"/>
      <c r="Z12" s="37"/>
      <c r="AA12" s="37"/>
    </row>
    <row r="13" spans="1:27" ht="13.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185" t="s">
        <v>39</v>
      </c>
      <c r="B14" s="166"/>
      <c r="C14" s="166"/>
      <c r="D14" s="166"/>
      <c r="E14" s="16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76"/>
      <c r="B15" s="169"/>
      <c r="C15" s="169"/>
      <c r="D15" s="169"/>
      <c r="E15" s="17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71" t="s">
        <v>40</v>
      </c>
      <c r="B16" s="38" t="s">
        <v>41</v>
      </c>
      <c r="C16" s="38" t="s">
        <v>42</v>
      </c>
      <c r="D16" s="38" t="s">
        <v>43</v>
      </c>
      <c r="E16" s="38" t="s">
        <v>44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72"/>
      <c r="B17" s="26" t="s">
        <v>112</v>
      </c>
      <c r="C17" s="24">
        <f>F12</f>
        <v>20420000</v>
      </c>
      <c r="D17" s="24">
        <v>15000000</v>
      </c>
      <c r="E17" s="24">
        <f t="shared" ref="E17:E25" si="9">C17-D17</f>
        <v>5420000</v>
      </c>
      <c r="F17" s="114" t="s">
        <v>113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172"/>
      <c r="B18" s="24" t="s">
        <v>114</v>
      </c>
      <c r="C18" s="24">
        <f>K12</f>
        <v>4228000</v>
      </c>
      <c r="D18" s="26">
        <v>3724000</v>
      </c>
      <c r="E18" s="24">
        <f t="shared" si="9"/>
        <v>504000</v>
      </c>
      <c r="F18" s="67" t="s">
        <v>115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72"/>
      <c r="B19" s="24" t="s">
        <v>116</v>
      </c>
      <c r="C19" s="24">
        <f>M12</f>
        <v>800000</v>
      </c>
      <c r="D19" s="26">
        <v>400000</v>
      </c>
      <c r="E19" s="24">
        <f t="shared" si="9"/>
        <v>400000</v>
      </c>
      <c r="F19" s="67" t="s">
        <v>115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72"/>
      <c r="B20" s="26" t="s">
        <v>117</v>
      </c>
      <c r="C20" s="24">
        <f>N12</f>
        <v>0</v>
      </c>
      <c r="D20" s="26">
        <v>300000</v>
      </c>
      <c r="E20" s="24">
        <f t="shared" si="9"/>
        <v>-300000</v>
      </c>
      <c r="F20" s="67" t="s">
        <v>115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72"/>
      <c r="B21" s="24" t="s">
        <v>52</v>
      </c>
      <c r="C21" s="24">
        <f>O12</f>
        <v>300000</v>
      </c>
      <c r="D21" s="26">
        <v>0</v>
      </c>
      <c r="E21" s="24">
        <f t="shared" si="9"/>
        <v>300000</v>
      </c>
      <c r="F21" s="67" t="s">
        <v>115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72"/>
      <c r="B22" s="115" t="s">
        <v>53</v>
      </c>
      <c r="C22" s="44">
        <f>T11</f>
        <v>2164000</v>
      </c>
      <c r="D22" s="26">
        <v>0</v>
      </c>
      <c r="E22" s="24">
        <f t="shared" si="9"/>
        <v>2164000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72"/>
      <c r="B23" s="45" t="s">
        <v>54</v>
      </c>
      <c r="C23" s="46">
        <v>0</v>
      </c>
      <c r="D23" s="45">
        <v>1000000</v>
      </c>
      <c r="E23" s="47">
        <f t="shared" si="9"/>
        <v>-1000000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72"/>
      <c r="B24" s="45" t="s">
        <v>55</v>
      </c>
      <c r="C24" s="47">
        <f>P12</f>
        <v>800000</v>
      </c>
      <c r="D24" s="46">
        <v>500000</v>
      </c>
      <c r="E24" s="47">
        <f t="shared" si="9"/>
        <v>300000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72"/>
      <c r="B25" s="45" t="s">
        <v>56</v>
      </c>
      <c r="C25" s="46">
        <v>0</v>
      </c>
      <c r="D25" s="46">
        <v>500000</v>
      </c>
      <c r="E25" s="47">
        <f t="shared" si="9"/>
        <v>-500000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61"/>
      <c r="B26" s="48" t="s">
        <v>57</v>
      </c>
      <c r="C26" s="48">
        <f t="shared" ref="C26:E26" si="10">SUM(C17:C25)</f>
        <v>28712000</v>
      </c>
      <c r="D26" s="48">
        <f t="shared" si="10"/>
        <v>21424000</v>
      </c>
      <c r="E26" s="48">
        <f t="shared" si="10"/>
        <v>7288000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outlineLevel="1">
      <c r="A28" s="173" t="s">
        <v>58</v>
      </c>
      <c r="B28" s="174"/>
      <c r="C28" s="174"/>
      <c r="D28" s="174"/>
      <c r="E28" s="50">
        <v>90000000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outlineLevel="1">
      <c r="A29" s="51"/>
      <c r="B29" s="51"/>
      <c r="C29" s="51"/>
      <c r="D29" s="51"/>
      <c r="E29" s="52">
        <f>E26/E28</f>
        <v>8.0977777777777774E-2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</sheetData>
  <mergeCells count="21">
    <mergeCell ref="R3:R4"/>
    <mergeCell ref="S3:S4"/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L3:M3"/>
    <mergeCell ref="N3:N4"/>
    <mergeCell ref="O3:O4"/>
    <mergeCell ref="P3:P4"/>
    <mergeCell ref="Q3:Q4"/>
    <mergeCell ref="G3:G4"/>
    <mergeCell ref="H3:K3"/>
    <mergeCell ref="A14:E15"/>
    <mergeCell ref="A16:A26"/>
    <mergeCell ref="A28:D28"/>
  </mergeCells>
  <conditionalFormatting sqref="U5:U12">
    <cfRule type="notContainsBlanks" dxfId="0" priority="1">
      <formula>LEN(TRIM(U5))&gt;0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2.09765625" customWidth="1"/>
    <col min="21" max="26" width="7.59765625" customWidth="1"/>
  </cols>
  <sheetData>
    <row r="1" spans="1:20" ht="13.8">
      <c r="A1" s="204" t="s">
        <v>118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3.8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</row>
    <row r="3" spans="1:20" ht="13.8">
      <c r="A3" s="186" t="s">
        <v>1</v>
      </c>
      <c r="B3" s="186" t="s">
        <v>2</v>
      </c>
      <c r="C3" s="186" t="s">
        <v>3</v>
      </c>
      <c r="D3" s="186" t="s">
        <v>68</v>
      </c>
      <c r="E3" s="186" t="s">
        <v>5</v>
      </c>
      <c r="F3" s="186" t="s">
        <v>6</v>
      </c>
      <c r="G3" s="186" t="s">
        <v>7</v>
      </c>
      <c r="H3" s="188" t="s">
        <v>8</v>
      </c>
      <c r="I3" s="189"/>
      <c r="J3" s="189"/>
      <c r="K3" s="190"/>
      <c r="L3" s="188" t="s">
        <v>9</v>
      </c>
      <c r="M3" s="201"/>
      <c r="N3" s="202" t="s">
        <v>10</v>
      </c>
      <c r="O3" s="186" t="s">
        <v>11</v>
      </c>
      <c r="P3" s="186" t="s">
        <v>12</v>
      </c>
      <c r="Q3" s="186" t="s">
        <v>13</v>
      </c>
      <c r="R3" s="186" t="s">
        <v>14</v>
      </c>
      <c r="S3" s="186" t="s">
        <v>15</v>
      </c>
      <c r="T3" s="186" t="s">
        <v>17</v>
      </c>
    </row>
    <row r="4" spans="1:20" ht="13.8">
      <c r="A4" s="187"/>
      <c r="B4" s="187"/>
      <c r="C4" s="187"/>
      <c r="D4" s="187"/>
      <c r="E4" s="187"/>
      <c r="F4" s="187"/>
      <c r="G4" s="187"/>
      <c r="H4" s="116" t="s">
        <v>18</v>
      </c>
      <c r="I4" s="116" t="s">
        <v>19</v>
      </c>
      <c r="J4" s="116" t="s">
        <v>20</v>
      </c>
      <c r="K4" s="117" t="s">
        <v>21</v>
      </c>
      <c r="L4" s="116" t="s">
        <v>22</v>
      </c>
      <c r="M4" s="118" t="s">
        <v>21</v>
      </c>
      <c r="N4" s="203"/>
      <c r="O4" s="187"/>
      <c r="P4" s="187"/>
      <c r="Q4" s="187"/>
      <c r="R4" s="187"/>
      <c r="S4" s="187"/>
      <c r="T4" s="187"/>
    </row>
    <row r="5" spans="1:20" ht="13.8">
      <c r="A5" s="119" t="s">
        <v>23</v>
      </c>
      <c r="B5" s="120" t="s">
        <v>119</v>
      </c>
      <c r="C5" s="121" t="s">
        <v>120</v>
      </c>
      <c r="D5" s="122" t="s">
        <v>121</v>
      </c>
      <c r="E5" s="123">
        <v>3500000</v>
      </c>
      <c r="F5" s="123"/>
      <c r="G5" s="124"/>
      <c r="H5" s="123">
        <v>43</v>
      </c>
      <c r="I5" s="123">
        <v>166</v>
      </c>
      <c r="J5" s="123">
        <v>4000</v>
      </c>
      <c r="K5" s="123">
        <f t="shared" ref="K5:K13" si="0">(I5-H5)*J5</f>
        <v>492000</v>
      </c>
      <c r="L5" s="123">
        <v>100000</v>
      </c>
      <c r="M5" s="123">
        <f t="shared" ref="M5:M10" si="1">L5*G5</f>
        <v>0</v>
      </c>
      <c r="N5" s="123"/>
      <c r="O5" s="123"/>
      <c r="P5" s="123"/>
      <c r="Q5" s="123">
        <f>F5+K5+M5+O5+P5</f>
        <v>492000</v>
      </c>
      <c r="R5" s="125"/>
      <c r="S5" s="126">
        <f t="shared" ref="S5:S13" si="2">Q5-R5</f>
        <v>492000</v>
      </c>
      <c r="T5" s="127"/>
    </row>
    <row r="6" spans="1:20" ht="13.8">
      <c r="A6" s="128" t="s">
        <v>24</v>
      </c>
      <c r="B6" s="95" t="s">
        <v>122</v>
      </c>
      <c r="C6" s="96" t="s">
        <v>120</v>
      </c>
      <c r="D6" s="29" t="s">
        <v>123</v>
      </c>
      <c r="E6" s="23">
        <v>4700000</v>
      </c>
      <c r="F6" s="23">
        <v>4200000</v>
      </c>
      <c r="G6" s="30">
        <v>3</v>
      </c>
      <c r="H6" s="123">
        <v>307</v>
      </c>
      <c r="I6" s="123">
        <v>647</v>
      </c>
      <c r="J6" s="23">
        <v>4000</v>
      </c>
      <c r="K6" s="121">
        <f t="shared" si="0"/>
        <v>1360000</v>
      </c>
      <c r="L6" s="123">
        <v>100000</v>
      </c>
      <c r="M6" s="123">
        <f t="shared" si="1"/>
        <v>300000</v>
      </c>
      <c r="N6" s="13"/>
      <c r="O6" s="23"/>
      <c r="P6" s="23">
        <v>250000</v>
      </c>
      <c r="Q6" s="123">
        <f t="shared" ref="Q6:Q7" si="3">F6+K6+M6+P6+O6</f>
        <v>6110000</v>
      </c>
      <c r="R6" s="23"/>
      <c r="S6" s="126">
        <f t="shared" si="2"/>
        <v>6110000</v>
      </c>
      <c r="T6" s="129"/>
    </row>
    <row r="7" spans="1:20" ht="13.8">
      <c r="A7" s="128">
        <v>101</v>
      </c>
      <c r="B7" s="95" t="s">
        <v>124</v>
      </c>
      <c r="C7" s="121" t="s">
        <v>125</v>
      </c>
      <c r="D7" s="29" t="s">
        <v>32</v>
      </c>
      <c r="E7" s="13">
        <v>5000000</v>
      </c>
      <c r="F7" s="13">
        <v>4500000</v>
      </c>
      <c r="G7" s="30">
        <v>2</v>
      </c>
      <c r="H7" s="123">
        <v>54</v>
      </c>
      <c r="I7" s="123">
        <v>151</v>
      </c>
      <c r="J7" s="13">
        <v>4000</v>
      </c>
      <c r="K7" s="121">
        <f t="shared" si="0"/>
        <v>388000</v>
      </c>
      <c r="L7" s="123">
        <v>100000</v>
      </c>
      <c r="M7" s="123">
        <f t="shared" si="1"/>
        <v>200000</v>
      </c>
      <c r="N7" s="13"/>
      <c r="O7" s="13">
        <v>150000</v>
      </c>
      <c r="P7" s="13">
        <v>200000</v>
      </c>
      <c r="Q7" s="123">
        <f t="shared" si="3"/>
        <v>5438000</v>
      </c>
      <c r="R7" s="23"/>
      <c r="S7" s="130">
        <f t="shared" si="2"/>
        <v>5438000</v>
      </c>
      <c r="T7" s="129" t="s">
        <v>126</v>
      </c>
    </row>
    <row r="8" spans="1:20" ht="13.8">
      <c r="A8" s="128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23">
        <v>20</v>
      </c>
      <c r="I8" s="123">
        <v>325</v>
      </c>
      <c r="J8" s="13">
        <v>4000</v>
      </c>
      <c r="K8" s="121">
        <f t="shared" si="0"/>
        <v>1220000</v>
      </c>
      <c r="L8" s="123">
        <v>100000</v>
      </c>
      <c r="M8" s="123">
        <f t="shared" si="1"/>
        <v>200000</v>
      </c>
      <c r="N8" s="13"/>
      <c r="O8" s="13">
        <v>200000</v>
      </c>
      <c r="P8" s="13">
        <v>200000</v>
      </c>
      <c r="Q8" s="123">
        <f>F8+K8+M8+O8+P8</f>
        <v>5920000</v>
      </c>
      <c r="R8" s="23"/>
      <c r="S8" s="126">
        <f t="shared" si="2"/>
        <v>5920000</v>
      </c>
      <c r="T8" s="129"/>
    </row>
    <row r="9" spans="1:20" ht="13.8">
      <c r="A9" s="128">
        <v>201</v>
      </c>
      <c r="B9" s="95" t="s">
        <v>127</v>
      </c>
      <c r="C9" s="94" t="s">
        <v>128</v>
      </c>
      <c r="D9" s="29" t="s">
        <v>32</v>
      </c>
      <c r="E9" s="13">
        <v>5700000</v>
      </c>
      <c r="F9" s="13">
        <v>5200000</v>
      </c>
      <c r="G9" s="30">
        <v>2</v>
      </c>
      <c r="H9" s="123">
        <v>174</v>
      </c>
      <c r="I9" s="123">
        <v>442</v>
      </c>
      <c r="J9" s="13">
        <v>4000</v>
      </c>
      <c r="K9" s="121">
        <f t="shared" si="0"/>
        <v>1072000</v>
      </c>
      <c r="L9" s="123">
        <v>100000</v>
      </c>
      <c r="M9" s="123">
        <f t="shared" si="1"/>
        <v>200000</v>
      </c>
      <c r="N9" s="13"/>
      <c r="O9" s="13">
        <v>300000</v>
      </c>
      <c r="P9" s="13">
        <v>200000</v>
      </c>
      <c r="Q9" s="123">
        <f t="shared" ref="Q9:Q10" si="4">F9+K9+M9+P9+O9</f>
        <v>6972000</v>
      </c>
      <c r="R9" s="23"/>
      <c r="S9" s="126">
        <f t="shared" si="2"/>
        <v>6972000</v>
      </c>
      <c r="T9" s="129"/>
    </row>
    <row r="10" spans="1:20" ht="13.8">
      <c r="A10" s="128">
        <v>202</v>
      </c>
      <c r="B10" s="95" t="s">
        <v>108</v>
      </c>
      <c r="C10" s="94" t="s">
        <v>109</v>
      </c>
      <c r="D10" s="29" t="s">
        <v>32</v>
      </c>
      <c r="E10" s="13">
        <v>5300000</v>
      </c>
      <c r="F10" s="13">
        <v>4800000</v>
      </c>
      <c r="G10" s="30">
        <v>3</v>
      </c>
      <c r="H10" s="123">
        <v>64</v>
      </c>
      <c r="I10" s="123">
        <v>150</v>
      </c>
      <c r="J10" s="13">
        <v>4000</v>
      </c>
      <c r="K10" s="121">
        <f t="shared" si="0"/>
        <v>344000</v>
      </c>
      <c r="L10" s="123">
        <v>100000</v>
      </c>
      <c r="M10" s="123">
        <f t="shared" si="1"/>
        <v>300000</v>
      </c>
      <c r="N10" s="13"/>
      <c r="O10" s="13">
        <v>350000</v>
      </c>
      <c r="P10" s="13">
        <v>250000</v>
      </c>
      <c r="Q10" s="123">
        <f t="shared" si="4"/>
        <v>6044000</v>
      </c>
      <c r="R10" s="23"/>
      <c r="S10" s="126">
        <f t="shared" si="2"/>
        <v>6044000</v>
      </c>
      <c r="T10" s="129"/>
    </row>
    <row r="11" spans="1:20" ht="13.8">
      <c r="A11" s="128"/>
      <c r="B11" s="95"/>
      <c r="C11" s="94"/>
      <c r="D11" s="29"/>
      <c r="E11" s="13"/>
      <c r="F11" s="13"/>
      <c r="G11" s="30"/>
      <c r="H11" s="123"/>
      <c r="I11" s="123"/>
      <c r="J11" s="13"/>
      <c r="K11" s="121">
        <f t="shared" si="0"/>
        <v>0</v>
      </c>
      <c r="L11" s="123"/>
      <c r="M11" s="123"/>
      <c r="N11" s="13"/>
      <c r="O11" s="13"/>
      <c r="P11" s="13"/>
      <c r="Q11" s="123">
        <f t="shared" ref="Q11:Q12" si="5">F11+K11+M11+O11+P11</f>
        <v>0</v>
      </c>
      <c r="R11" s="23"/>
      <c r="S11" s="130">
        <f t="shared" si="2"/>
        <v>0</v>
      </c>
      <c r="T11" s="129"/>
    </row>
    <row r="12" spans="1:20" ht="13.8">
      <c r="A12" s="128"/>
      <c r="B12" s="13"/>
      <c r="C12" s="94"/>
      <c r="D12" s="29"/>
      <c r="E12" s="13"/>
      <c r="F12" s="13"/>
      <c r="G12" s="30"/>
      <c r="H12" s="123"/>
      <c r="I12" s="123"/>
      <c r="J12" s="13"/>
      <c r="K12" s="121">
        <f t="shared" si="0"/>
        <v>0</v>
      </c>
      <c r="L12" s="123"/>
      <c r="M12" s="123"/>
      <c r="N12" s="13"/>
      <c r="O12" s="13"/>
      <c r="P12" s="13"/>
      <c r="Q12" s="123">
        <f t="shared" si="5"/>
        <v>0</v>
      </c>
      <c r="R12" s="23"/>
      <c r="S12" s="130">
        <f t="shared" si="2"/>
        <v>0</v>
      </c>
      <c r="T12" s="129"/>
    </row>
    <row r="13" spans="1:20" ht="13.8">
      <c r="A13" s="128"/>
      <c r="B13" s="13"/>
      <c r="C13" s="94"/>
      <c r="D13" s="29"/>
      <c r="E13" s="13"/>
      <c r="F13" s="13"/>
      <c r="G13" s="30"/>
      <c r="H13" s="123"/>
      <c r="I13" s="123"/>
      <c r="J13" s="13"/>
      <c r="K13" s="121">
        <f t="shared" si="0"/>
        <v>0</v>
      </c>
      <c r="L13" s="123"/>
      <c r="M13" s="123"/>
      <c r="N13" s="13"/>
      <c r="O13" s="13"/>
      <c r="P13" s="13"/>
      <c r="Q13" s="123">
        <f>K13+M13+O13+P13+F13</f>
        <v>0</v>
      </c>
      <c r="R13" s="23"/>
      <c r="S13" s="130">
        <f t="shared" si="2"/>
        <v>0</v>
      </c>
      <c r="T13" s="129"/>
    </row>
    <row r="14" spans="1:20" ht="13.8">
      <c r="A14" s="131"/>
      <c r="B14" s="132"/>
      <c r="C14" s="132"/>
      <c r="D14" s="133"/>
      <c r="E14" s="132"/>
      <c r="F14" s="132"/>
      <c r="G14" s="134"/>
      <c r="H14" s="135"/>
      <c r="I14" s="135"/>
      <c r="J14" s="132"/>
      <c r="K14" s="135"/>
      <c r="L14" s="135"/>
      <c r="M14" s="132"/>
      <c r="N14" s="132"/>
      <c r="O14" s="132"/>
      <c r="P14" s="132"/>
      <c r="Q14" s="135"/>
      <c r="R14" s="135"/>
      <c r="S14" s="132"/>
      <c r="T14" s="136"/>
    </row>
    <row r="15" spans="1:20" ht="16.8">
      <c r="A15" s="137"/>
      <c r="B15" s="138" t="s">
        <v>38</v>
      </c>
      <c r="C15" s="138"/>
      <c r="D15" s="139"/>
      <c r="E15" s="140">
        <f t="shared" ref="E15:G15" si="6">SUM(E5:E14)</f>
        <v>28800000</v>
      </c>
      <c r="F15" s="140">
        <f t="shared" si="6"/>
        <v>22800000</v>
      </c>
      <c r="G15" s="141">
        <f t="shared" si="6"/>
        <v>12</v>
      </c>
      <c r="H15" s="140"/>
      <c r="I15" s="140"/>
      <c r="J15" s="140"/>
      <c r="K15" s="140">
        <f>SUM(K5:K13)</f>
        <v>4876000</v>
      </c>
      <c r="L15" s="140"/>
      <c r="M15" s="140">
        <f t="shared" ref="M15:P15" si="7">SUM(M5:M14)</f>
        <v>1200000</v>
      </c>
      <c r="N15" s="142">
        <f t="shared" si="7"/>
        <v>0</v>
      </c>
      <c r="O15" s="142">
        <f t="shared" si="7"/>
        <v>1000000</v>
      </c>
      <c r="P15" s="140">
        <f t="shared" si="7"/>
        <v>1100000</v>
      </c>
      <c r="Q15" s="140">
        <f>SUM(Q5:Q13)</f>
        <v>30976000</v>
      </c>
      <c r="R15" s="140">
        <f>SUM(R5:R12)</f>
        <v>0</v>
      </c>
      <c r="S15" s="142">
        <f>SUM(S5:S13)</f>
        <v>30976000</v>
      </c>
      <c r="T15" s="143"/>
    </row>
    <row r="19" spans="1:5" ht="13.8">
      <c r="A19" s="191" t="s">
        <v>39</v>
      </c>
      <c r="B19" s="192"/>
      <c r="C19" s="192"/>
      <c r="D19" s="192"/>
      <c r="E19" s="193"/>
    </row>
    <row r="20" spans="1:5" ht="13.8">
      <c r="A20" s="194"/>
      <c r="B20" s="195"/>
      <c r="C20" s="195"/>
      <c r="D20" s="195"/>
      <c r="E20" s="196"/>
    </row>
    <row r="21" spans="1:5" ht="15.75" customHeight="1">
      <c r="A21" s="197" t="s">
        <v>40</v>
      </c>
      <c r="B21" s="144" t="s">
        <v>41</v>
      </c>
      <c r="C21" s="145" t="s">
        <v>42</v>
      </c>
      <c r="D21" s="145" t="s">
        <v>43</v>
      </c>
      <c r="E21" s="146" t="s">
        <v>44</v>
      </c>
    </row>
    <row r="22" spans="1:5" ht="15.75" customHeight="1">
      <c r="A22" s="198"/>
      <c r="B22" s="147" t="s">
        <v>129</v>
      </c>
      <c r="C22" s="148">
        <f>F15</f>
        <v>22800000</v>
      </c>
      <c r="D22" s="148">
        <v>15000000</v>
      </c>
      <c r="E22" s="149">
        <f t="shared" ref="E22:E27" si="8">C22-D22</f>
        <v>7800000</v>
      </c>
    </row>
    <row r="23" spans="1:5" ht="15.75" customHeight="1">
      <c r="A23" s="198"/>
      <c r="B23" s="150" t="s">
        <v>114</v>
      </c>
      <c r="C23" s="95">
        <f>K15</f>
        <v>4876000</v>
      </c>
      <c r="D23" s="13"/>
      <c r="E23" s="151">
        <f t="shared" si="8"/>
        <v>4876000</v>
      </c>
    </row>
    <row r="24" spans="1:5" ht="15.75" customHeight="1">
      <c r="A24" s="198"/>
      <c r="B24" s="150" t="s">
        <v>116</v>
      </c>
      <c r="C24" s="95">
        <f>M15</f>
        <v>1200000</v>
      </c>
      <c r="D24" s="65"/>
      <c r="E24" s="151">
        <f t="shared" si="8"/>
        <v>1200000</v>
      </c>
    </row>
    <row r="25" spans="1:5" ht="15.75" customHeight="1">
      <c r="A25" s="198"/>
      <c r="B25" s="150" t="s">
        <v>55</v>
      </c>
      <c r="C25" s="95">
        <f>P15</f>
        <v>1100000</v>
      </c>
      <c r="D25" s="65"/>
      <c r="E25" s="151">
        <f t="shared" si="8"/>
        <v>1100000</v>
      </c>
    </row>
    <row r="26" spans="1:5" ht="15.75" customHeight="1">
      <c r="A26" s="198"/>
      <c r="B26" s="150" t="s">
        <v>130</v>
      </c>
      <c r="C26" s="95">
        <f>N17</f>
        <v>0</v>
      </c>
      <c r="D26" s="95"/>
      <c r="E26" s="151">
        <f t="shared" si="8"/>
        <v>0</v>
      </c>
    </row>
    <row r="27" spans="1:5" ht="15.75" customHeight="1">
      <c r="A27" s="187"/>
      <c r="B27" s="152" t="s">
        <v>52</v>
      </c>
      <c r="C27" s="153">
        <f>O15</f>
        <v>1000000</v>
      </c>
      <c r="D27" s="154"/>
      <c r="E27" s="155">
        <f t="shared" si="8"/>
        <v>1000000</v>
      </c>
    </row>
    <row r="28" spans="1:5" ht="15.75" customHeight="1">
      <c r="A28" s="156"/>
      <c r="B28" s="157" t="s">
        <v>57</v>
      </c>
      <c r="C28" s="158">
        <f>SUM(C22:C27)</f>
        <v>30976000</v>
      </c>
      <c r="D28" s="110"/>
      <c r="E28" s="159"/>
    </row>
    <row r="29" spans="1:5" ht="15.75" customHeight="1">
      <c r="A29" s="156"/>
      <c r="B29" s="110"/>
      <c r="C29" s="110"/>
      <c r="D29" s="199" t="s">
        <v>131</v>
      </c>
      <c r="E29" s="200">
        <f>E22+E23+E24+E25+E26+E27</f>
        <v>15976000</v>
      </c>
    </row>
    <row r="30" spans="1:5" ht="15.75" customHeight="1">
      <c r="A30" s="156"/>
      <c r="B30" s="110"/>
      <c r="C30" s="110"/>
      <c r="D30" s="187"/>
      <c r="E30" s="187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2.09765625" customWidth="1"/>
    <col min="21" max="26" width="7.59765625" customWidth="1"/>
  </cols>
  <sheetData>
    <row r="1" spans="1:20" ht="13.8">
      <c r="A1" s="204" t="s">
        <v>118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3.8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</row>
    <row r="3" spans="1:20" ht="13.8">
      <c r="A3" s="186" t="s">
        <v>1</v>
      </c>
      <c r="B3" s="186" t="s">
        <v>2</v>
      </c>
      <c r="C3" s="186" t="s">
        <v>3</v>
      </c>
      <c r="D3" s="186" t="s">
        <v>68</v>
      </c>
      <c r="E3" s="186" t="s">
        <v>5</v>
      </c>
      <c r="F3" s="186" t="s">
        <v>6</v>
      </c>
      <c r="G3" s="186" t="s">
        <v>7</v>
      </c>
      <c r="H3" s="188" t="s">
        <v>8</v>
      </c>
      <c r="I3" s="189"/>
      <c r="J3" s="189"/>
      <c r="K3" s="190"/>
      <c r="L3" s="188" t="s">
        <v>9</v>
      </c>
      <c r="M3" s="201"/>
      <c r="N3" s="202" t="s">
        <v>10</v>
      </c>
      <c r="O3" s="186" t="s">
        <v>11</v>
      </c>
      <c r="P3" s="186" t="s">
        <v>12</v>
      </c>
      <c r="Q3" s="186" t="s">
        <v>13</v>
      </c>
      <c r="R3" s="186" t="s">
        <v>14</v>
      </c>
      <c r="S3" s="186" t="s">
        <v>15</v>
      </c>
      <c r="T3" s="186" t="s">
        <v>17</v>
      </c>
    </row>
    <row r="4" spans="1:20" ht="13.8">
      <c r="A4" s="187"/>
      <c r="B4" s="187"/>
      <c r="C4" s="187"/>
      <c r="D4" s="187"/>
      <c r="E4" s="187"/>
      <c r="F4" s="187"/>
      <c r="G4" s="187"/>
      <c r="H4" s="116" t="s">
        <v>18</v>
      </c>
      <c r="I4" s="116" t="s">
        <v>19</v>
      </c>
      <c r="J4" s="116" t="s">
        <v>20</v>
      </c>
      <c r="K4" s="117" t="s">
        <v>21</v>
      </c>
      <c r="L4" s="116" t="s">
        <v>22</v>
      </c>
      <c r="M4" s="118" t="s">
        <v>21</v>
      </c>
      <c r="N4" s="203"/>
      <c r="O4" s="187"/>
      <c r="P4" s="187"/>
      <c r="Q4" s="187"/>
      <c r="R4" s="187"/>
      <c r="S4" s="187"/>
      <c r="T4" s="187"/>
    </row>
    <row r="5" spans="1:20" ht="13.8">
      <c r="A5" s="119" t="s">
        <v>23</v>
      </c>
      <c r="B5" s="120"/>
      <c r="C5" s="121"/>
      <c r="D5" s="122"/>
      <c r="E5" s="123">
        <v>3500000</v>
      </c>
      <c r="F5" s="123"/>
      <c r="G5" s="124"/>
      <c r="H5" s="123">
        <v>166</v>
      </c>
      <c r="I5" s="123">
        <v>166</v>
      </c>
      <c r="J5" s="123">
        <v>4000</v>
      </c>
      <c r="K5" s="123">
        <f t="shared" ref="K5:K13" si="0">(I5-H5)*J5</f>
        <v>0</v>
      </c>
      <c r="L5" s="123">
        <v>100000</v>
      </c>
      <c r="M5" s="123">
        <f t="shared" ref="M5:M10" si="1">L5*G5</f>
        <v>0</v>
      </c>
      <c r="N5" s="123"/>
      <c r="O5" s="123"/>
      <c r="P5" s="123"/>
      <c r="Q5" s="123">
        <f>F5+K5+M5+O5+P5</f>
        <v>0</v>
      </c>
      <c r="R5" s="125"/>
      <c r="S5" s="130">
        <f t="shared" ref="S5:S13" si="2">Q5-R5</f>
        <v>0</v>
      </c>
      <c r="T5" s="127"/>
    </row>
    <row r="6" spans="1:20" ht="13.8">
      <c r="A6" s="128" t="s">
        <v>24</v>
      </c>
      <c r="B6" s="95" t="s">
        <v>122</v>
      </c>
      <c r="C6" s="96" t="s">
        <v>120</v>
      </c>
      <c r="D6" s="29" t="s">
        <v>123</v>
      </c>
      <c r="E6" s="23">
        <v>4700000</v>
      </c>
      <c r="F6" s="23">
        <v>4200000</v>
      </c>
      <c r="G6" s="30">
        <v>3</v>
      </c>
      <c r="H6" s="123">
        <v>647</v>
      </c>
      <c r="I6" s="123">
        <v>1052</v>
      </c>
      <c r="J6" s="23">
        <v>4000</v>
      </c>
      <c r="K6" s="121">
        <f t="shared" si="0"/>
        <v>1620000</v>
      </c>
      <c r="L6" s="123">
        <v>100000</v>
      </c>
      <c r="M6" s="123">
        <f t="shared" si="1"/>
        <v>300000</v>
      </c>
      <c r="N6" s="13"/>
      <c r="O6" s="23"/>
      <c r="P6" s="23">
        <v>250000</v>
      </c>
      <c r="Q6" s="123">
        <f t="shared" ref="Q6:Q7" si="3">F6+K6+M6+P6+O6</f>
        <v>6370000</v>
      </c>
      <c r="R6" s="23"/>
      <c r="S6" s="126">
        <f t="shared" si="2"/>
        <v>6370000</v>
      </c>
      <c r="T6" s="129"/>
    </row>
    <row r="7" spans="1:20" ht="13.8">
      <c r="A7" s="128">
        <v>101</v>
      </c>
      <c r="B7" s="95" t="s">
        <v>124</v>
      </c>
      <c r="C7" s="121" t="s">
        <v>125</v>
      </c>
      <c r="D7" s="29" t="s">
        <v>32</v>
      </c>
      <c r="E7" s="13">
        <v>5000000</v>
      </c>
      <c r="F7" s="13">
        <v>4500000</v>
      </c>
      <c r="G7" s="30">
        <v>2</v>
      </c>
      <c r="H7" s="123">
        <v>151</v>
      </c>
      <c r="I7" s="123">
        <v>240</v>
      </c>
      <c r="J7" s="13">
        <v>4000</v>
      </c>
      <c r="K7" s="121">
        <f t="shared" si="0"/>
        <v>356000</v>
      </c>
      <c r="L7" s="123">
        <v>100000</v>
      </c>
      <c r="M7" s="123">
        <f t="shared" si="1"/>
        <v>200000</v>
      </c>
      <c r="N7" s="13"/>
      <c r="O7" s="13">
        <v>150000</v>
      </c>
      <c r="P7" s="13">
        <v>200000</v>
      </c>
      <c r="Q7" s="123">
        <f t="shared" si="3"/>
        <v>5406000</v>
      </c>
      <c r="R7" s="23"/>
      <c r="S7" s="126">
        <f t="shared" si="2"/>
        <v>5406000</v>
      </c>
      <c r="T7" s="129" t="s">
        <v>126</v>
      </c>
    </row>
    <row r="8" spans="1:20" ht="13.8">
      <c r="A8" s="128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23">
        <v>325</v>
      </c>
      <c r="I8" s="123">
        <v>736</v>
      </c>
      <c r="J8" s="13">
        <v>4000</v>
      </c>
      <c r="K8" s="121">
        <f t="shared" si="0"/>
        <v>1644000</v>
      </c>
      <c r="L8" s="123">
        <v>100000</v>
      </c>
      <c r="M8" s="123">
        <f t="shared" si="1"/>
        <v>200000</v>
      </c>
      <c r="N8" s="13"/>
      <c r="O8" s="13">
        <v>200000</v>
      </c>
      <c r="P8" s="13">
        <v>200000</v>
      </c>
      <c r="Q8" s="123">
        <f>F8+K8+M8+O8+P8</f>
        <v>6344000</v>
      </c>
      <c r="R8" s="23"/>
      <c r="S8" s="126">
        <f t="shared" si="2"/>
        <v>6344000</v>
      </c>
      <c r="T8" s="129"/>
    </row>
    <row r="9" spans="1:20" ht="13.8">
      <c r="A9" s="128">
        <v>201</v>
      </c>
      <c r="B9" s="95" t="s">
        <v>127</v>
      </c>
      <c r="C9" s="94" t="s">
        <v>128</v>
      </c>
      <c r="D9" s="29" t="s">
        <v>32</v>
      </c>
      <c r="E9" s="13">
        <v>5700000</v>
      </c>
      <c r="F9" s="13">
        <v>5200000</v>
      </c>
      <c r="G9" s="30">
        <v>2</v>
      </c>
      <c r="H9" s="123">
        <v>442</v>
      </c>
      <c r="I9" s="123">
        <v>733</v>
      </c>
      <c r="J9" s="13">
        <v>4000</v>
      </c>
      <c r="K9" s="121">
        <f t="shared" si="0"/>
        <v>1164000</v>
      </c>
      <c r="L9" s="123">
        <v>100000</v>
      </c>
      <c r="M9" s="123">
        <f t="shared" si="1"/>
        <v>200000</v>
      </c>
      <c r="N9" s="13"/>
      <c r="O9" s="13">
        <v>300000</v>
      </c>
      <c r="P9" s="13">
        <v>200000</v>
      </c>
      <c r="Q9" s="123">
        <f t="shared" ref="Q9:Q10" si="4">F9+K9+M9+P9+O9</f>
        <v>7064000</v>
      </c>
      <c r="R9" s="23">
        <v>200000</v>
      </c>
      <c r="S9" s="126">
        <f t="shared" si="2"/>
        <v>6864000</v>
      </c>
      <c r="T9" s="129" t="s">
        <v>132</v>
      </c>
    </row>
    <row r="10" spans="1:20" ht="13.8">
      <c r="A10" s="128">
        <v>202</v>
      </c>
      <c r="B10" s="95" t="s">
        <v>108</v>
      </c>
      <c r="C10" s="94" t="s">
        <v>109</v>
      </c>
      <c r="D10" s="29" t="s">
        <v>32</v>
      </c>
      <c r="E10" s="13">
        <v>5300000</v>
      </c>
      <c r="F10" s="13">
        <v>4800000</v>
      </c>
      <c r="G10" s="30">
        <v>3</v>
      </c>
      <c r="H10" s="123">
        <v>150</v>
      </c>
      <c r="I10" s="123">
        <v>240</v>
      </c>
      <c r="J10" s="13">
        <v>4000</v>
      </c>
      <c r="K10" s="121">
        <f t="shared" si="0"/>
        <v>360000</v>
      </c>
      <c r="L10" s="123">
        <v>100000</v>
      </c>
      <c r="M10" s="123">
        <f t="shared" si="1"/>
        <v>300000</v>
      </c>
      <c r="N10" s="13"/>
      <c r="O10" s="13">
        <v>350000</v>
      </c>
      <c r="P10" s="13">
        <v>250000</v>
      </c>
      <c r="Q10" s="123">
        <f t="shared" si="4"/>
        <v>6060000</v>
      </c>
      <c r="R10" s="23"/>
      <c r="S10" s="126">
        <f t="shared" si="2"/>
        <v>6060000</v>
      </c>
      <c r="T10" s="129"/>
    </row>
    <row r="11" spans="1:20" ht="13.8">
      <c r="A11" s="128"/>
      <c r="B11" s="95"/>
      <c r="C11" s="94"/>
      <c r="D11" s="29"/>
      <c r="E11" s="13"/>
      <c r="F11" s="13"/>
      <c r="G11" s="30"/>
      <c r="H11" s="123"/>
      <c r="I11" s="123"/>
      <c r="J11" s="13"/>
      <c r="K11" s="121">
        <f t="shared" si="0"/>
        <v>0</v>
      </c>
      <c r="L11" s="123"/>
      <c r="M11" s="123"/>
      <c r="N11" s="13"/>
      <c r="O11" s="13"/>
      <c r="P11" s="13"/>
      <c r="Q11" s="123">
        <f t="shared" ref="Q11:Q12" si="5">F11+K11+M11+O11+P11</f>
        <v>0</v>
      </c>
      <c r="R11" s="23"/>
      <c r="S11" s="130">
        <f t="shared" si="2"/>
        <v>0</v>
      </c>
      <c r="T11" s="129"/>
    </row>
    <row r="12" spans="1:20" ht="13.8">
      <c r="A12" s="128"/>
      <c r="B12" s="13"/>
      <c r="C12" s="94"/>
      <c r="D12" s="29"/>
      <c r="E12" s="13"/>
      <c r="F12" s="13"/>
      <c r="G12" s="30"/>
      <c r="H12" s="123"/>
      <c r="I12" s="123"/>
      <c r="J12" s="13"/>
      <c r="K12" s="121">
        <f t="shared" si="0"/>
        <v>0</v>
      </c>
      <c r="L12" s="123"/>
      <c r="M12" s="123"/>
      <c r="N12" s="13"/>
      <c r="O12" s="13"/>
      <c r="P12" s="13"/>
      <c r="Q12" s="123">
        <f t="shared" si="5"/>
        <v>0</v>
      </c>
      <c r="R12" s="23"/>
      <c r="S12" s="130">
        <f t="shared" si="2"/>
        <v>0</v>
      </c>
      <c r="T12" s="129"/>
    </row>
    <row r="13" spans="1:20" ht="13.8">
      <c r="A13" s="128"/>
      <c r="B13" s="13"/>
      <c r="C13" s="94"/>
      <c r="D13" s="29"/>
      <c r="E13" s="13"/>
      <c r="F13" s="13"/>
      <c r="G13" s="30"/>
      <c r="H13" s="123"/>
      <c r="I13" s="123"/>
      <c r="J13" s="13"/>
      <c r="K13" s="121">
        <f t="shared" si="0"/>
        <v>0</v>
      </c>
      <c r="L13" s="123"/>
      <c r="M13" s="123"/>
      <c r="N13" s="13"/>
      <c r="O13" s="13"/>
      <c r="P13" s="13"/>
      <c r="Q13" s="123">
        <f>K13+M13+O13+P13+F13</f>
        <v>0</v>
      </c>
      <c r="R13" s="23"/>
      <c r="S13" s="130">
        <f t="shared" si="2"/>
        <v>0</v>
      </c>
      <c r="T13" s="129"/>
    </row>
    <row r="14" spans="1:20" ht="13.8">
      <c r="A14" s="131"/>
      <c r="B14" s="132"/>
      <c r="C14" s="132"/>
      <c r="D14" s="133"/>
      <c r="E14" s="132"/>
      <c r="F14" s="132"/>
      <c r="G14" s="134"/>
      <c r="H14" s="135"/>
      <c r="I14" s="135"/>
      <c r="J14" s="132"/>
      <c r="K14" s="135"/>
      <c r="L14" s="135"/>
      <c r="M14" s="132"/>
      <c r="N14" s="132"/>
      <c r="O14" s="132"/>
      <c r="P14" s="132"/>
      <c r="Q14" s="135"/>
      <c r="R14" s="135"/>
      <c r="S14" s="132"/>
      <c r="T14" s="136"/>
    </row>
    <row r="15" spans="1:20" ht="16.8">
      <c r="A15" s="137"/>
      <c r="B15" s="138" t="s">
        <v>38</v>
      </c>
      <c r="C15" s="138"/>
      <c r="D15" s="139"/>
      <c r="E15" s="140">
        <f t="shared" ref="E15:G15" si="6">SUM(E5:E14)</f>
        <v>28800000</v>
      </c>
      <c r="F15" s="140">
        <f t="shared" si="6"/>
        <v>22800000</v>
      </c>
      <c r="G15" s="141">
        <f t="shared" si="6"/>
        <v>12</v>
      </c>
      <c r="H15" s="140"/>
      <c r="I15" s="140"/>
      <c r="J15" s="140"/>
      <c r="K15" s="140">
        <f>SUM(K5:K13)</f>
        <v>5144000</v>
      </c>
      <c r="L15" s="140"/>
      <c r="M15" s="140">
        <f t="shared" ref="M15:P15" si="7">SUM(M5:M14)</f>
        <v>1200000</v>
      </c>
      <c r="N15" s="142">
        <f t="shared" si="7"/>
        <v>0</v>
      </c>
      <c r="O15" s="142">
        <f t="shared" si="7"/>
        <v>1000000</v>
      </c>
      <c r="P15" s="140">
        <f t="shared" si="7"/>
        <v>1100000</v>
      </c>
      <c r="Q15" s="140">
        <f>SUM(Q5:Q13)</f>
        <v>31244000</v>
      </c>
      <c r="R15" s="140">
        <f>SUM(R5:R12)</f>
        <v>200000</v>
      </c>
      <c r="S15" s="142">
        <f>SUM(S5:S13)</f>
        <v>31044000</v>
      </c>
      <c r="T15" s="143"/>
    </row>
    <row r="19" spans="1:5" ht="13.8">
      <c r="A19" s="191" t="s">
        <v>39</v>
      </c>
      <c r="B19" s="192"/>
      <c r="C19" s="192"/>
      <c r="D19" s="192"/>
      <c r="E19" s="193"/>
    </row>
    <row r="20" spans="1:5" ht="13.8">
      <c r="A20" s="194"/>
      <c r="B20" s="195"/>
      <c r="C20" s="195"/>
      <c r="D20" s="195"/>
      <c r="E20" s="196"/>
    </row>
    <row r="21" spans="1:5" ht="15.75" customHeight="1">
      <c r="A21" s="197" t="s">
        <v>40</v>
      </c>
      <c r="B21" s="144" t="s">
        <v>41</v>
      </c>
      <c r="C21" s="145" t="s">
        <v>42</v>
      </c>
      <c r="D21" s="145" t="s">
        <v>43</v>
      </c>
      <c r="E21" s="146" t="s">
        <v>44</v>
      </c>
    </row>
    <row r="22" spans="1:5" ht="15.75" customHeight="1">
      <c r="A22" s="198"/>
      <c r="B22" s="147" t="s">
        <v>129</v>
      </c>
      <c r="C22" s="148">
        <f>F15</f>
        <v>22800000</v>
      </c>
      <c r="D22" s="148">
        <v>15000000</v>
      </c>
      <c r="E22" s="149">
        <f t="shared" ref="E22:E27" si="8">C22-D22</f>
        <v>7800000</v>
      </c>
    </row>
    <row r="23" spans="1:5" ht="15.75" customHeight="1">
      <c r="A23" s="198"/>
      <c r="B23" s="150" t="s">
        <v>114</v>
      </c>
      <c r="C23" s="95">
        <f>K15</f>
        <v>5144000</v>
      </c>
      <c r="D23" s="13"/>
      <c r="E23" s="151">
        <f t="shared" si="8"/>
        <v>5144000</v>
      </c>
    </row>
    <row r="24" spans="1:5" ht="15.75" customHeight="1">
      <c r="A24" s="198"/>
      <c r="B24" s="150" t="s">
        <v>116</v>
      </c>
      <c r="C24" s="95">
        <f>M15</f>
        <v>1200000</v>
      </c>
      <c r="D24" s="65"/>
      <c r="E24" s="151">
        <f t="shared" si="8"/>
        <v>1200000</v>
      </c>
    </row>
    <row r="25" spans="1:5" ht="15.75" customHeight="1">
      <c r="A25" s="198"/>
      <c r="B25" s="150" t="s">
        <v>55</v>
      </c>
      <c r="C25" s="95">
        <f>P15</f>
        <v>1100000</v>
      </c>
      <c r="D25" s="65"/>
      <c r="E25" s="151">
        <f t="shared" si="8"/>
        <v>1100000</v>
      </c>
    </row>
    <row r="26" spans="1:5" ht="15.75" customHeight="1">
      <c r="A26" s="198"/>
      <c r="B26" s="150" t="s">
        <v>130</v>
      </c>
      <c r="C26" s="95">
        <f>N17</f>
        <v>0</v>
      </c>
      <c r="D26" s="95"/>
      <c r="E26" s="151">
        <f t="shared" si="8"/>
        <v>0</v>
      </c>
    </row>
    <row r="27" spans="1:5" ht="15.75" customHeight="1">
      <c r="A27" s="187"/>
      <c r="B27" s="152" t="s">
        <v>52</v>
      </c>
      <c r="C27" s="153">
        <f>O15</f>
        <v>1000000</v>
      </c>
      <c r="D27" s="154"/>
      <c r="E27" s="155">
        <f t="shared" si="8"/>
        <v>1000000</v>
      </c>
    </row>
    <row r="28" spans="1:5" ht="15.75" customHeight="1">
      <c r="A28" s="156"/>
      <c r="B28" s="157" t="s">
        <v>57</v>
      </c>
      <c r="C28" s="158">
        <f>SUM(C22:C27)</f>
        <v>31244000</v>
      </c>
      <c r="D28" s="110"/>
      <c r="E28" s="159"/>
    </row>
    <row r="29" spans="1:5" ht="15.75" customHeight="1">
      <c r="A29" s="156"/>
      <c r="B29" s="110"/>
      <c r="C29" s="110"/>
      <c r="D29" s="199" t="s">
        <v>131</v>
      </c>
      <c r="E29" s="200">
        <f>E22+E23+E24+E25+E26+E27</f>
        <v>16244000</v>
      </c>
    </row>
    <row r="30" spans="1:5" ht="15.75" customHeight="1">
      <c r="A30" s="156"/>
      <c r="B30" s="110"/>
      <c r="C30" s="110"/>
      <c r="D30" s="187"/>
      <c r="E30" s="187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2.09765625" customWidth="1"/>
    <col min="21" max="26" width="7.59765625" customWidth="1"/>
  </cols>
  <sheetData>
    <row r="1" spans="1:20" ht="13.8">
      <c r="A1" s="204" t="s">
        <v>118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3.8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</row>
    <row r="3" spans="1:20" ht="13.8">
      <c r="A3" s="186" t="s">
        <v>1</v>
      </c>
      <c r="B3" s="186" t="s">
        <v>2</v>
      </c>
      <c r="C3" s="186" t="s">
        <v>3</v>
      </c>
      <c r="D3" s="186" t="s">
        <v>68</v>
      </c>
      <c r="E3" s="186" t="s">
        <v>5</v>
      </c>
      <c r="F3" s="186" t="s">
        <v>6</v>
      </c>
      <c r="G3" s="186" t="s">
        <v>7</v>
      </c>
      <c r="H3" s="188" t="s">
        <v>8</v>
      </c>
      <c r="I3" s="189"/>
      <c r="J3" s="189"/>
      <c r="K3" s="190"/>
      <c r="L3" s="188" t="s">
        <v>9</v>
      </c>
      <c r="M3" s="201"/>
      <c r="N3" s="202" t="s">
        <v>10</v>
      </c>
      <c r="O3" s="186" t="s">
        <v>11</v>
      </c>
      <c r="P3" s="186" t="s">
        <v>12</v>
      </c>
      <c r="Q3" s="186" t="s">
        <v>13</v>
      </c>
      <c r="R3" s="186" t="s">
        <v>14</v>
      </c>
      <c r="S3" s="186" t="s">
        <v>15</v>
      </c>
      <c r="T3" s="186" t="s">
        <v>17</v>
      </c>
    </row>
    <row r="4" spans="1:20" ht="13.8">
      <c r="A4" s="187"/>
      <c r="B4" s="187"/>
      <c r="C4" s="187"/>
      <c r="D4" s="187"/>
      <c r="E4" s="187"/>
      <c r="F4" s="187"/>
      <c r="G4" s="187"/>
      <c r="H4" s="116" t="s">
        <v>18</v>
      </c>
      <c r="I4" s="116" t="s">
        <v>19</v>
      </c>
      <c r="J4" s="116" t="s">
        <v>20</v>
      </c>
      <c r="K4" s="117" t="s">
        <v>21</v>
      </c>
      <c r="L4" s="116" t="s">
        <v>22</v>
      </c>
      <c r="M4" s="118" t="s">
        <v>21</v>
      </c>
      <c r="N4" s="203"/>
      <c r="O4" s="187"/>
      <c r="P4" s="187"/>
      <c r="Q4" s="187"/>
      <c r="R4" s="187"/>
      <c r="S4" s="187"/>
      <c r="T4" s="187"/>
    </row>
    <row r="5" spans="1:20" ht="13.8">
      <c r="A5" s="119" t="s">
        <v>23</v>
      </c>
      <c r="B5" s="120"/>
      <c r="C5" s="121"/>
      <c r="D5" s="122"/>
      <c r="E5" s="123">
        <v>3500000</v>
      </c>
      <c r="F5" s="123"/>
      <c r="G5" s="124"/>
      <c r="H5" s="123">
        <v>166</v>
      </c>
      <c r="I5" s="123">
        <v>177</v>
      </c>
      <c r="J5" s="123">
        <v>4000</v>
      </c>
      <c r="K5" s="123">
        <f t="shared" ref="K5:K13" si="0">(I5-H5)*J5</f>
        <v>44000</v>
      </c>
      <c r="L5" s="123">
        <v>100000</v>
      </c>
      <c r="M5" s="123">
        <f t="shared" ref="M5:M10" si="1">L5*G5</f>
        <v>0</v>
      </c>
      <c r="N5" s="123"/>
      <c r="O5" s="123"/>
      <c r="P5" s="123"/>
      <c r="Q5" s="123">
        <f>F5+K5+M5+O5+P5</f>
        <v>44000</v>
      </c>
      <c r="R5" s="125"/>
      <c r="S5" s="130">
        <f t="shared" ref="S5:S13" si="2">Q5-R5</f>
        <v>44000</v>
      </c>
      <c r="T5" s="127"/>
    </row>
    <row r="6" spans="1:20" ht="13.8">
      <c r="A6" s="128" t="s">
        <v>24</v>
      </c>
      <c r="B6" s="95" t="s">
        <v>122</v>
      </c>
      <c r="C6" s="96" t="s">
        <v>120</v>
      </c>
      <c r="D6" s="29" t="s">
        <v>123</v>
      </c>
      <c r="E6" s="23">
        <v>4700000</v>
      </c>
      <c r="F6" s="23">
        <v>4200000</v>
      </c>
      <c r="G6" s="30">
        <v>3</v>
      </c>
      <c r="H6" s="123">
        <v>1052</v>
      </c>
      <c r="I6" s="123">
        <v>1437</v>
      </c>
      <c r="J6" s="23">
        <v>4000</v>
      </c>
      <c r="K6" s="121">
        <f t="shared" si="0"/>
        <v>1540000</v>
      </c>
      <c r="L6" s="123">
        <v>100000</v>
      </c>
      <c r="M6" s="123">
        <f t="shared" si="1"/>
        <v>300000</v>
      </c>
      <c r="N6" s="13"/>
      <c r="O6" s="23"/>
      <c r="P6" s="23">
        <v>250000</v>
      </c>
      <c r="Q6" s="123">
        <f t="shared" ref="Q6:Q7" si="3">F6+K6+M6+P6+O6</f>
        <v>6290000</v>
      </c>
      <c r="R6" s="23"/>
      <c r="S6" s="126">
        <f t="shared" si="2"/>
        <v>6290000</v>
      </c>
      <c r="T6" s="129" t="s">
        <v>133</v>
      </c>
    </row>
    <row r="7" spans="1:20" ht="13.8">
      <c r="A7" s="128">
        <v>101</v>
      </c>
      <c r="B7" s="95" t="s">
        <v>124</v>
      </c>
      <c r="C7" s="121" t="s">
        <v>125</v>
      </c>
      <c r="D7" s="29" t="s">
        <v>32</v>
      </c>
      <c r="E7" s="13">
        <v>5000000</v>
      </c>
      <c r="F7" s="13">
        <v>4500000</v>
      </c>
      <c r="G7" s="30">
        <v>2</v>
      </c>
      <c r="H7" s="123">
        <v>240</v>
      </c>
      <c r="I7" s="123">
        <v>309</v>
      </c>
      <c r="J7" s="13">
        <v>4000</v>
      </c>
      <c r="K7" s="121">
        <f t="shared" si="0"/>
        <v>276000</v>
      </c>
      <c r="L7" s="123">
        <v>100000</v>
      </c>
      <c r="M7" s="123">
        <f t="shared" si="1"/>
        <v>200000</v>
      </c>
      <c r="N7" s="13"/>
      <c r="O7" s="13">
        <v>150000</v>
      </c>
      <c r="P7" s="13">
        <v>200000</v>
      </c>
      <c r="Q7" s="123">
        <f t="shared" si="3"/>
        <v>5326000</v>
      </c>
      <c r="R7" s="23"/>
      <c r="S7" s="126">
        <f t="shared" si="2"/>
        <v>5326000</v>
      </c>
      <c r="T7" s="129" t="s">
        <v>126</v>
      </c>
    </row>
    <row r="8" spans="1:20" ht="13.8">
      <c r="A8" s="128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23">
        <v>736</v>
      </c>
      <c r="I8" s="123">
        <v>1127</v>
      </c>
      <c r="J8" s="13">
        <v>4000</v>
      </c>
      <c r="K8" s="121">
        <f t="shared" si="0"/>
        <v>1564000</v>
      </c>
      <c r="L8" s="123">
        <v>100000</v>
      </c>
      <c r="M8" s="123">
        <f t="shared" si="1"/>
        <v>200000</v>
      </c>
      <c r="N8" s="13"/>
      <c r="O8" s="13">
        <v>300000</v>
      </c>
      <c r="P8" s="13">
        <v>200000</v>
      </c>
      <c r="Q8" s="123">
        <f>F8+K8+M8+O8+P8</f>
        <v>6364000</v>
      </c>
      <c r="R8" s="23"/>
      <c r="S8" s="126">
        <f t="shared" si="2"/>
        <v>6364000</v>
      </c>
      <c r="T8" s="129" t="s">
        <v>134</v>
      </c>
    </row>
    <row r="9" spans="1:20" ht="13.8">
      <c r="A9" s="128">
        <v>201</v>
      </c>
      <c r="B9" s="95" t="s">
        <v>127</v>
      </c>
      <c r="C9" s="94" t="s">
        <v>128</v>
      </c>
      <c r="D9" s="29" t="s">
        <v>32</v>
      </c>
      <c r="E9" s="13">
        <v>5700000</v>
      </c>
      <c r="F9" s="13">
        <v>5200000</v>
      </c>
      <c r="G9" s="30">
        <v>2</v>
      </c>
      <c r="H9" s="123">
        <v>733</v>
      </c>
      <c r="I9" s="123">
        <v>1086</v>
      </c>
      <c r="J9" s="13">
        <v>4000</v>
      </c>
      <c r="K9" s="121">
        <f t="shared" si="0"/>
        <v>1412000</v>
      </c>
      <c r="L9" s="123">
        <v>100000</v>
      </c>
      <c r="M9" s="123">
        <f t="shared" si="1"/>
        <v>200000</v>
      </c>
      <c r="N9" s="13"/>
      <c r="O9" s="13">
        <v>300000</v>
      </c>
      <c r="P9" s="13">
        <v>200000</v>
      </c>
      <c r="Q9" s="123">
        <f t="shared" ref="Q9:Q10" si="4">F9+K9+M9+P9+O9</f>
        <v>7312000</v>
      </c>
      <c r="R9" s="23"/>
      <c r="S9" s="126">
        <f t="shared" si="2"/>
        <v>7312000</v>
      </c>
      <c r="T9" s="129"/>
    </row>
    <row r="10" spans="1:20" ht="13.8">
      <c r="A10" s="128">
        <v>202</v>
      </c>
      <c r="B10" s="95" t="s">
        <v>108</v>
      </c>
      <c r="C10" s="94" t="s">
        <v>109</v>
      </c>
      <c r="D10" s="29" t="s">
        <v>32</v>
      </c>
      <c r="E10" s="13">
        <v>5300000</v>
      </c>
      <c r="F10" s="13">
        <v>4800000</v>
      </c>
      <c r="G10" s="30">
        <v>3</v>
      </c>
      <c r="H10" s="123">
        <v>240</v>
      </c>
      <c r="I10" s="123">
        <v>322</v>
      </c>
      <c r="J10" s="13">
        <v>4000</v>
      </c>
      <c r="K10" s="121">
        <f t="shared" si="0"/>
        <v>328000</v>
      </c>
      <c r="L10" s="123">
        <v>100000</v>
      </c>
      <c r="M10" s="123">
        <f t="shared" si="1"/>
        <v>300000</v>
      </c>
      <c r="N10" s="13"/>
      <c r="O10" s="13">
        <v>350000</v>
      </c>
      <c r="P10" s="13">
        <v>250000</v>
      </c>
      <c r="Q10" s="123">
        <f t="shared" si="4"/>
        <v>6028000</v>
      </c>
      <c r="R10" s="23"/>
      <c r="S10" s="126">
        <f t="shared" si="2"/>
        <v>6028000</v>
      </c>
      <c r="T10" s="129"/>
    </row>
    <row r="11" spans="1:20" ht="13.8">
      <c r="A11" s="128"/>
      <c r="B11" s="95"/>
      <c r="C11" s="94"/>
      <c r="D11" s="29"/>
      <c r="E11" s="13"/>
      <c r="F11" s="13"/>
      <c r="G11" s="30"/>
      <c r="H11" s="123"/>
      <c r="I11" s="123"/>
      <c r="J11" s="13"/>
      <c r="K11" s="121">
        <f t="shared" si="0"/>
        <v>0</v>
      </c>
      <c r="L11" s="123"/>
      <c r="M11" s="123"/>
      <c r="N11" s="13"/>
      <c r="O11" s="13"/>
      <c r="P11" s="13"/>
      <c r="Q11" s="123">
        <f t="shared" ref="Q11:Q12" si="5">F11+K11+M11+O11+P11</f>
        <v>0</v>
      </c>
      <c r="R11" s="23"/>
      <c r="S11" s="130">
        <f t="shared" si="2"/>
        <v>0</v>
      </c>
      <c r="T11" s="129"/>
    </row>
    <row r="12" spans="1:20" ht="13.8">
      <c r="A12" s="128"/>
      <c r="B12" s="13"/>
      <c r="C12" s="94"/>
      <c r="D12" s="29"/>
      <c r="E12" s="13"/>
      <c r="F12" s="13"/>
      <c r="G12" s="30"/>
      <c r="H12" s="123"/>
      <c r="I12" s="123"/>
      <c r="J12" s="13"/>
      <c r="K12" s="121">
        <f t="shared" si="0"/>
        <v>0</v>
      </c>
      <c r="L12" s="123"/>
      <c r="M12" s="123"/>
      <c r="N12" s="13"/>
      <c r="O12" s="13"/>
      <c r="P12" s="13"/>
      <c r="Q12" s="123">
        <f t="shared" si="5"/>
        <v>0</v>
      </c>
      <c r="R12" s="23"/>
      <c r="S12" s="130">
        <f t="shared" si="2"/>
        <v>0</v>
      </c>
      <c r="T12" s="129"/>
    </row>
    <row r="13" spans="1:20" ht="13.8">
      <c r="A13" s="128"/>
      <c r="B13" s="13"/>
      <c r="C13" s="94"/>
      <c r="D13" s="29"/>
      <c r="E13" s="13"/>
      <c r="F13" s="13"/>
      <c r="G13" s="30"/>
      <c r="H13" s="123"/>
      <c r="I13" s="123"/>
      <c r="J13" s="13"/>
      <c r="K13" s="121">
        <f t="shared" si="0"/>
        <v>0</v>
      </c>
      <c r="L13" s="123"/>
      <c r="M13" s="123"/>
      <c r="N13" s="13"/>
      <c r="O13" s="13"/>
      <c r="P13" s="13"/>
      <c r="Q13" s="123">
        <f>K13+M13+O13+P13+F13</f>
        <v>0</v>
      </c>
      <c r="R13" s="23"/>
      <c r="S13" s="130">
        <f t="shared" si="2"/>
        <v>0</v>
      </c>
      <c r="T13" s="129"/>
    </row>
    <row r="14" spans="1:20" ht="13.8">
      <c r="A14" s="131"/>
      <c r="B14" s="132"/>
      <c r="C14" s="132"/>
      <c r="D14" s="133"/>
      <c r="E14" s="132"/>
      <c r="F14" s="132"/>
      <c r="G14" s="134"/>
      <c r="H14" s="135"/>
      <c r="I14" s="135"/>
      <c r="J14" s="132"/>
      <c r="K14" s="135"/>
      <c r="L14" s="135"/>
      <c r="M14" s="132"/>
      <c r="N14" s="132"/>
      <c r="O14" s="132"/>
      <c r="P14" s="132"/>
      <c r="Q14" s="135"/>
      <c r="R14" s="135"/>
      <c r="S14" s="132"/>
      <c r="T14" s="136"/>
    </row>
    <row r="15" spans="1:20" ht="16.8">
      <c r="A15" s="137"/>
      <c r="B15" s="138" t="s">
        <v>38</v>
      </c>
      <c r="C15" s="138"/>
      <c r="D15" s="139"/>
      <c r="E15" s="140">
        <f t="shared" ref="E15:G15" si="6">SUM(E5:E14)</f>
        <v>28800000</v>
      </c>
      <c r="F15" s="140">
        <f t="shared" si="6"/>
        <v>22800000</v>
      </c>
      <c r="G15" s="141">
        <f t="shared" si="6"/>
        <v>12</v>
      </c>
      <c r="H15" s="140"/>
      <c r="I15" s="140"/>
      <c r="J15" s="140"/>
      <c r="K15" s="140">
        <f>SUM(K5:K13)</f>
        <v>5164000</v>
      </c>
      <c r="L15" s="140"/>
      <c r="M15" s="140">
        <f t="shared" ref="M15:P15" si="7">SUM(M5:M14)</f>
        <v>1200000</v>
      </c>
      <c r="N15" s="142">
        <f t="shared" si="7"/>
        <v>0</v>
      </c>
      <c r="O15" s="142">
        <f t="shared" si="7"/>
        <v>1100000</v>
      </c>
      <c r="P15" s="140">
        <f t="shared" si="7"/>
        <v>1100000</v>
      </c>
      <c r="Q15" s="140">
        <f>SUM(Q5:Q13)</f>
        <v>31364000</v>
      </c>
      <c r="R15" s="140">
        <f>SUM(R5:R12)</f>
        <v>0</v>
      </c>
      <c r="S15" s="142">
        <f>SUM(S5:S13)</f>
        <v>31364000</v>
      </c>
      <c r="T15" s="143"/>
    </row>
    <row r="19" spans="1:5" ht="13.8">
      <c r="A19" s="191" t="s">
        <v>39</v>
      </c>
      <c r="B19" s="192"/>
      <c r="C19" s="192"/>
      <c r="D19" s="192"/>
      <c r="E19" s="193"/>
    </row>
    <row r="20" spans="1:5" ht="13.8">
      <c r="A20" s="194"/>
      <c r="B20" s="195"/>
      <c r="C20" s="195"/>
      <c r="D20" s="195"/>
      <c r="E20" s="196"/>
    </row>
    <row r="21" spans="1:5" ht="15.75" customHeight="1">
      <c r="A21" s="197" t="s">
        <v>40</v>
      </c>
      <c r="B21" s="144" t="s">
        <v>41</v>
      </c>
      <c r="C21" s="145" t="s">
        <v>42</v>
      </c>
      <c r="D21" s="145" t="s">
        <v>43</v>
      </c>
      <c r="E21" s="146" t="s">
        <v>44</v>
      </c>
    </row>
    <row r="22" spans="1:5" ht="15.75" customHeight="1">
      <c r="A22" s="198"/>
      <c r="B22" s="147" t="s">
        <v>129</v>
      </c>
      <c r="C22" s="148">
        <f>F15</f>
        <v>22800000</v>
      </c>
      <c r="D22" s="148">
        <v>15000000</v>
      </c>
      <c r="E22" s="149">
        <f t="shared" ref="E22:E27" si="8">C22-D22</f>
        <v>7800000</v>
      </c>
    </row>
    <row r="23" spans="1:5" ht="15.75" customHeight="1">
      <c r="A23" s="198"/>
      <c r="B23" s="150" t="s">
        <v>114</v>
      </c>
      <c r="C23" s="95">
        <f>K15</f>
        <v>5164000</v>
      </c>
      <c r="D23" s="13"/>
      <c r="E23" s="151">
        <f t="shared" si="8"/>
        <v>5164000</v>
      </c>
    </row>
    <row r="24" spans="1:5" ht="15.75" customHeight="1">
      <c r="A24" s="198"/>
      <c r="B24" s="150" t="s">
        <v>116</v>
      </c>
      <c r="C24" s="95">
        <f>M15</f>
        <v>1200000</v>
      </c>
      <c r="D24" s="65"/>
      <c r="E24" s="151">
        <f t="shared" si="8"/>
        <v>1200000</v>
      </c>
    </row>
    <row r="25" spans="1:5" ht="15.75" customHeight="1">
      <c r="A25" s="198"/>
      <c r="B25" s="150" t="s">
        <v>55</v>
      </c>
      <c r="C25" s="95">
        <f>P15</f>
        <v>1100000</v>
      </c>
      <c r="D25" s="65"/>
      <c r="E25" s="151">
        <f t="shared" si="8"/>
        <v>1100000</v>
      </c>
    </row>
    <row r="26" spans="1:5" ht="15.75" customHeight="1">
      <c r="A26" s="198"/>
      <c r="B26" s="150" t="s">
        <v>130</v>
      </c>
      <c r="C26" s="95">
        <f>N17</f>
        <v>0</v>
      </c>
      <c r="D26" s="95"/>
      <c r="E26" s="151">
        <f t="shared" si="8"/>
        <v>0</v>
      </c>
    </row>
    <row r="27" spans="1:5" ht="15.75" customHeight="1">
      <c r="A27" s="187"/>
      <c r="B27" s="152" t="s">
        <v>52</v>
      </c>
      <c r="C27" s="153">
        <f>O15</f>
        <v>1100000</v>
      </c>
      <c r="D27" s="154"/>
      <c r="E27" s="155">
        <f t="shared" si="8"/>
        <v>1100000</v>
      </c>
    </row>
    <row r="28" spans="1:5" ht="15.75" customHeight="1">
      <c r="A28" s="156"/>
      <c r="B28" s="157" t="s">
        <v>57</v>
      </c>
      <c r="C28" s="158">
        <f>SUM(C22:C27)</f>
        <v>31364000</v>
      </c>
      <c r="D28" s="110"/>
      <c r="E28" s="159"/>
    </row>
    <row r="29" spans="1:5" ht="15.75" customHeight="1">
      <c r="A29" s="156"/>
      <c r="B29" s="110"/>
      <c r="C29" s="110"/>
      <c r="D29" s="199" t="s">
        <v>131</v>
      </c>
      <c r="E29" s="200">
        <f>E22+E23+E24+E25+E26+E27</f>
        <v>16364000</v>
      </c>
    </row>
    <row r="30" spans="1:5" ht="15.75" customHeight="1">
      <c r="A30" s="156"/>
      <c r="B30" s="110"/>
      <c r="C30" s="110"/>
      <c r="D30" s="187"/>
      <c r="E30" s="187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2.09765625" customWidth="1"/>
    <col min="21" max="26" width="7.59765625" customWidth="1"/>
  </cols>
  <sheetData>
    <row r="1" spans="1:20" ht="13.8">
      <c r="A1" s="204" t="s">
        <v>118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3.8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</row>
    <row r="3" spans="1:20" ht="13.8">
      <c r="A3" s="186" t="s">
        <v>1</v>
      </c>
      <c r="B3" s="186" t="s">
        <v>2</v>
      </c>
      <c r="C3" s="186" t="s">
        <v>3</v>
      </c>
      <c r="D3" s="186" t="s">
        <v>68</v>
      </c>
      <c r="E3" s="186" t="s">
        <v>5</v>
      </c>
      <c r="F3" s="186" t="s">
        <v>6</v>
      </c>
      <c r="G3" s="186" t="s">
        <v>7</v>
      </c>
      <c r="H3" s="188" t="s">
        <v>8</v>
      </c>
      <c r="I3" s="189"/>
      <c r="J3" s="189"/>
      <c r="K3" s="190"/>
      <c r="L3" s="188" t="s">
        <v>9</v>
      </c>
      <c r="M3" s="201"/>
      <c r="N3" s="202" t="s">
        <v>10</v>
      </c>
      <c r="O3" s="186" t="s">
        <v>11</v>
      </c>
      <c r="P3" s="186" t="s">
        <v>12</v>
      </c>
      <c r="Q3" s="186" t="s">
        <v>13</v>
      </c>
      <c r="R3" s="186" t="s">
        <v>14</v>
      </c>
      <c r="S3" s="186" t="s">
        <v>15</v>
      </c>
      <c r="T3" s="186" t="s">
        <v>17</v>
      </c>
    </row>
    <row r="4" spans="1:20" ht="13.8">
      <c r="A4" s="187"/>
      <c r="B4" s="187"/>
      <c r="C4" s="187"/>
      <c r="D4" s="187"/>
      <c r="E4" s="187"/>
      <c r="F4" s="187"/>
      <c r="G4" s="187"/>
      <c r="H4" s="116" t="s">
        <v>18</v>
      </c>
      <c r="I4" s="116" t="s">
        <v>19</v>
      </c>
      <c r="J4" s="116" t="s">
        <v>20</v>
      </c>
      <c r="K4" s="117" t="s">
        <v>21</v>
      </c>
      <c r="L4" s="116" t="s">
        <v>22</v>
      </c>
      <c r="M4" s="118" t="s">
        <v>21</v>
      </c>
      <c r="N4" s="203"/>
      <c r="O4" s="187"/>
      <c r="P4" s="187"/>
      <c r="Q4" s="187"/>
      <c r="R4" s="187"/>
      <c r="S4" s="187"/>
      <c r="T4" s="187"/>
    </row>
    <row r="5" spans="1:20" ht="13.8">
      <c r="A5" s="119" t="s">
        <v>23</v>
      </c>
      <c r="B5" s="120"/>
      <c r="C5" s="121"/>
      <c r="D5" s="122"/>
      <c r="E5" s="123">
        <v>3500000</v>
      </c>
      <c r="F5" s="123"/>
      <c r="G5" s="124"/>
      <c r="H5" s="123">
        <v>177</v>
      </c>
      <c r="I5" s="123">
        <v>179</v>
      </c>
      <c r="J5" s="123">
        <v>4000</v>
      </c>
      <c r="K5" s="123">
        <f t="shared" ref="K5:K13" si="0">(I5-H5)*J5</f>
        <v>8000</v>
      </c>
      <c r="L5" s="123">
        <v>100000</v>
      </c>
      <c r="M5" s="123">
        <f t="shared" ref="M5:M10" si="1">L5*G5</f>
        <v>0</v>
      </c>
      <c r="N5" s="123"/>
      <c r="O5" s="123"/>
      <c r="P5" s="123"/>
      <c r="Q5" s="123">
        <f>F5+K5+M5+O5+P5</f>
        <v>8000</v>
      </c>
      <c r="R5" s="125"/>
      <c r="S5" s="130">
        <f t="shared" ref="S5:S13" si="2">Q5-R5</f>
        <v>8000</v>
      </c>
      <c r="T5" s="127"/>
    </row>
    <row r="6" spans="1:20" ht="13.8">
      <c r="A6" s="128" t="s">
        <v>24</v>
      </c>
      <c r="B6" s="95" t="s">
        <v>122</v>
      </c>
      <c r="C6" s="96" t="s">
        <v>120</v>
      </c>
      <c r="D6" s="29" t="s">
        <v>123</v>
      </c>
      <c r="E6" s="23">
        <v>4700000</v>
      </c>
      <c r="F6" s="23"/>
      <c r="G6" s="30"/>
      <c r="H6" s="123">
        <v>1437</v>
      </c>
      <c r="I6" s="123">
        <v>1824</v>
      </c>
      <c r="J6" s="23">
        <v>4000</v>
      </c>
      <c r="K6" s="121">
        <f t="shared" si="0"/>
        <v>1548000</v>
      </c>
      <c r="L6" s="123">
        <v>100000</v>
      </c>
      <c r="M6" s="123">
        <f t="shared" si="1"/>
        <v>0</v>
      </c>
      <c r="N6" s="13"/>
      <c r="O6" s="23"/>
      <c r="P6" s="23"/>
      <c r="Q6" s="123">
        <f t="shared" ref="Q6:Q7" si="3">F6+K6+M6+P6+O6</f>
        <v>1548000</v>
      </c>
      <c r="R6" s="23"/>
      <c r="S6" s="126">
        <f t="shared" si="2"/>
        <v>1548000</v>
      </c>
      <c r="T6" s="129" t="s">
        <v>135</v>
      </c>
    </row>
    <row r="7" spans="1:20" ht="13.8">
      <c r="A7" s="128">
        <v>101</v>
      </c>
      <c r="B7" s="95" t="s">
        <v>124</v>
      </c>
      <c r="C7" s="121" t="s">
        <v>125</v>
      </c>
      <c r="D7" s="29" t="s">
        <v>32</v>
      </c>
      <c r="E7" s="13">
        <v>5000000</v>
      </c>
      <c r="F7" s="13">
        <v>4500000</v>
      </c>
      <c r="G7" s="30">
        <v>2</v>
      </c>
      <c r="H7" s="123">
        <v>309</v>
      </c>
      <c r="I7" s="123">
        <v>354</v>
      </c>
      <c r="J7" s="13">
        <v>4000</v>
      </c>
      <c r="K7" s="121">
        <f t="shared" si="0"/>
        <v>180000</v>
      </c>
      <c r="L7" s="123">
        <v>100000</v>
      </c>
      <c r="M7" s="123">
        <f t="shared" si="1"/>
        <v>200000</v>
      </c>
      <c r="N7" s="13"/>
      <c r="O7" s="13">
        <v>150000</v>
      </c>
      <c r="P7" s="13">
        <v>200000</v>
      </c>
      <c r="Q7" s="123">
        <f t="shared" si="3"/>
        <v>5230000</v>
      </c>
      <c r="R7" s="23"/>
      <c r="S7" s="126">
        <f t="shared" si="2"/>
        <v>5230000</v>
      </c>
      <c r="T7" s="129" t="s">
        <v>126</v>
      </c>
    </row>
    <row r="8" spans="1:20" ht="13.8">
      <c r="A8" s="128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23">
        <v>1127</v>
      </c>
      <c r="I8" s="123">
        <v>1367</v>
      </c>
      <c r="J8" s="13">
        <v>4000</v>
      </c>
      <c r="K8" s="121">
        <f t="shared" si="0"/>
        <v>960000</v>
      </c>
      <c r="L8" s="123">
        <v>100000</v>
      </c>
      <c r="M8" s="123">
        <f t="shared" si="1"/>
        <v>200000</v>
      </c>
      <c r="N8" s="13"/>
      <c r="O8" s="13">
        <v>100000</v>
      </c>
      <c r="P8" s="13">
        <v>200000</v>
      </c>
      <c r="Q8" s="123">
        <f>F8+K8+M8+O8+P8</f>
        <v>5560000</v>
      </c>
      <c r="R8" s="23"/>
      <c r="S8" s="126">
        <f t="shared" si="2"/>
        <v>5560000</v>
      </c>
      <c r="T8" s="129" t="s">
        <v>136</v>
      </c>
    </row>
    <row r="9" spans="1:20" ht="13.8">
      <c r="A9" s="128">
        <v>201</v>
      </c>
      <c r="B9" s="95" t="s">
        <v>127</v>
      </c>
      <c r="C9" s="94" t="s">
        <v>128</v>
      </c>
      <c r="D9" s="29" t="s">
        <v>32</v>
      </c>
      <c r="E9" s="13">
        <v>5700000</v>
      </c>
      <c r="F9" s="13">
        <v>5200000</v>
      </c>
      <c r="G9" s="30">
        <v>2</v>
      </c>
      <c r="H9" s="123">
        <v>1086</v>
      </c>
      <c r="I9" s="123">
        <v>1366</v>
      </c>
      <c r="J9" s="13">
        <v>4000</v>
      </c>
      <c r="K9" s="121">
        <f t="shared" si="0"/>
        <v>1120000</v>
      </c>
      <c r="L9" s="123">
        <v>100000</v>
      </c>
      <c r="M9" s="123">
        <f t="shared" si="1"/>
        <v>200000</v>
      </c>
      <c r="N9" s="13"/>
      <c r="O9" s="13">
        <v>300000</v>
      </c>
      <c r="P9" s="13">
        <v>200000</v>
      </c>
      <c r="Q9" s="123">
        <f t="shared" ref="Q9:Q10" si="4">F9+K9+M9+P9+O9</f>
        <v>7020000</v>
      </c>
      <c r="R9" s="23"/>
      <c r="S9" s="126">
        <f t="shared" si="2"/>
        <v>7020000</v>
      </c>
      <c r="T9" s="129"/>
    </row>
    <row r="10" spans="1:20" ht="13.8">
      <c r="A10" s="128">
        <v>202</v>
      </c>
      <c r="B10" s="95" t="s">
        <v>108</v>
      </c>
      <c r="C10" s="94" t="s">
        <v>109</v>
      </c>
      <c r="D10" s="29" t="s">
        <v>32</v>
      </c>
      <c r="E10" s="13">
        <v>5300000</v>
      </c>
      <c r="F10" s="13">
        <v>4800000</v>
      </c>
      <c r="G10" s="30">
        <v>3</v>
      </c>
      <c r="H10" s="123">
        <v>322</v>
      </c>
      <c r="I10" s="123">
        <v>406</v>
      </c>
      <c r="J10" s="13">
        <v>4000</v>
      </c>
      <c r="K10" s="121">
        <f t="shared" si="0"/>
        <v>336000</v>
      </c>
      <c r="L10" s="123">
        <v>100000</v>
      </c>
      <c r="M10" s="123">
        <f t="shared" si="1"/>
        <v>300000</v>
      </c>
      <c r="N10" s="13"/>
      <c r="O10" s="13">
        <v>350000</v>
      </c>
      <c r="P10" s="13">
        <v>250000</v>
      </c>
      <c r="Q10" s="123">
        <f t="shared" si="4"/>
        <v>6036000</v>
      </c>
      <c r="R10" s="23"/>
      <c r="S10" s="126">
        <f t="shared" si="2"/>
        <v>6036000</v>
      </c>
      <c r="T10" s="129"/>
    </row>
    <row r="11" spans="1:20" ht="13.8">
      <c r="A11" s="128"/>
      <c r="B11" s="95"/>
      <c r="C11" s="94"/>
      <c r="D11" s="29"/>
      <c r="E11" s="13"/>
      <c r="F11" s="13"/>
      <c r="G11" s="30"/>
      <c r="H11" s="123"/>
      <c r="I11" s="123"/>
      <c r="J11" s="13"/>
      <c r="K11" s="121">
        <f t="shared" si="0"/>
        <v>0</v>
      </c>
      <c r="L11" s="123"/>
      <c r="M11" s="123"/>
      <c r="N11" s="13"/>
      <c r="O11" s="13"/>
      <c r="P11" s="13"/>
      <c r="Q11" s="123">
        <f t="shared" ref="Q11:Q12" si="5">F11+K11+M11+O11+P11</f>
        <v>0</v>
      </c>
      <c r="R11" s="23"/>
      <c r="S11" s="130">
        <f t="shared" si="2"/>
        <v>0</v>
      </c>
      <c r="T11" s="129"/>
    </row>
    <row r="12" spans="1:20" ht="13.8">
      <c r="A12" s="128"/>
      <c r="B12" s="13"/>
      <c r="C12" s="94"/>
      <c r="D12" s="29"/>
      <c r="E12" s="13"/>
      <c r="F12" s="13"/>
      <c r="G12" s="30"/>
      <c r="H12" s="123"/>
      <c r="I12" s="123"/>
      <c r="J12" s="13"/>
      <c r="K12" s="121">
        <f t="shared" si="0"/>
        <v>0</v>
      </c>
      <c r="L12" s="123"/>
      <c r="M12" s="123"/>
      <c r="N12" s="13"/>
      <c r="O12" s="13"/>
      <c r="P12" s="13"/>
      <c r="Q12" s="123">
        <f t="shared" si="5"/>
        <v>0</v>
      </c>
      <c r="R12" s="23"/>
      <c r="S12" s="130">
        <f t="shared" si="2"/>
        <v>0</v>
      </c>
      <c r="T12" s="129"/>
    </row>
    <row r="13" spans="1:20" ht="13.8">
      <c r="A13" s="128"/>
      <c r="B13" s="13"/>
      <c r="C13" s="94"/>
      <c r="D13" s="29"/>
      <c r="E13" s="13"/>
      <c r="F13" s="13"/>
      <c r="G13" s="30"/>
      <c r="H13" s="123"/>
      <c r="I13" s="123"/>
      <c r="J13" s="13"/>
      <c r="K13" s="121">
        <f t="shared" si="0"/>
        <v>0</v>
      </c>
      <c r="L13" s="123"/>
      <c r="M13" s="123"/>
      <c r="N13" s="13"/>
      <c r="O13" s="13"/>
      <c r="P13" s="13"/>
      <c r="Q13" s="123">
        <f>K13+M13+O13+P13+F13</f>
        <v>0</v>
      </c>
      <c r="R13" s="23"/>
      <c r="S13" s="130">
        <f t="shared" si="2"/>
        <v>0</v>
      </c>
      <c r="T13" s="129"/>
    </row>
    <row r="14" spans="1:20" ht="13.8">
      <c r="A14" s="131"/>
      <c r="B14" s="132"/>
      <c r="C14" s="132"/>
      <c r="D14" s="133"/>
      <c r="E14" s="132"/>
      <c r="F14" s="132"/>
      <c r="G14" s="134"/>
      <c r="H14" s="135"/>
      <c r="I14" s="135"/>
      <c r="J14" s="132"/>
      <c r="K14" s="135"/>
      <c r="L14" s="135"/>
      <c r="M14" s="132"/>
      <c r="N14" s="132"/>
      <c r="O14" s="132"/>
      <c r="P14" s="132"/>
      <c r="Q14" s="135"/>
      <c r="R14" s="135"/>
      <c r="S14" s="132"/>
      <c r="T14" s="136"/>
    </row>
    <row r="15" spans="1:20" ht="16.8">
      <c r="A15" s="137"/>
      <c r="B15" s="138" t="s">
        <v>38</v>
      </c>
      <c r="C15" s="138"/>
      <c r="D15" s="139"/>
      <c r="E15" s="140">
        <f t="shared" ref="E15:G15" si="6">SUM(E5:E14)</f>
        <v>28800000</v>
      </c>
      <c r="F15" s="140">
        <f t="shared" si="6"/>
        <v>18600000</v>
      </c>
      <c r="G15" s="141">
        <f t="shared" si="6"/>
        <v>9</v>
      </c>
      <c r="H15" s="140"/>
      <c r="I15" s="140"/>
      <c r="J15" s="140"/>
      <c r="K15" s="140">
        <f>SUM(K5:K13)</f>
        <v>4152000</v>
      </c>
      <c r="L15" s="140"/>
      <c r="M15" s="140">
        <f t="shared" ref="M15:P15" si="7">SUM(M5:M14)</f>
        <v>900000</v>
      </c>
      <c r="N15" s="142">
        <f t="shared" si="7"/>
        <v>0</v>
      </c>
      <c r="O15" s="142">
        <f t="shared" si="7"/>
        <v>900000</v>
      </c>
      <c r="P15" s="140">
        <f t="shared" si="7"/>
        <v>850000</v>
      </c>
      <c r="Q15" s="140">
        <f>SUM(Q5:Q13)</f>
        <v>25402000</v>
      </c>
      <c r="R15" s="140">
        <f>SUM(R5:R12)</f>
        <v>0</v>
      </c>
      <c r="S15" s="142">
        <f>SUM(S5:S13)</f>
        <v>25402000</v>
      </c>
      <c r="T15" s="143"/>
    </row>
    <row r="19" spans="1:5" ht="13.8">
      <c r="A19" s="191" t="s">
        <v>39</v>
      </c>
      <c r="B19" s="192"/>
      <c r="C19" s="192"/>
      <c r="D19" s="192"/>
      <c r="E19" s="193"/>
    </row>
    <row r="20" spans="1:5" ht="13.8">
      <c r="A20" s="194"/>
      <c r="B20" s="195"/>
      <c r="C20" s="195"/>
      <c r="D20" s="195"/>
      <c r="E20" s="196"/>
    </row>
    <row r="21" spans="1:5" ht="15.75" customHeight="1">
      <c r="A21" s="197" t="s">
        <v>40</v>
      </c>
      <c r="B21" s="144" t="s">
        <v>41</v>
      </c>
      <c r="C21" s="145" t="s">
        <v>42</v>
      </c>
      <c r="D21" s="145" t="s">
        <v>43</v>
      </c>
      <c r="E21" s="146" t="s">
        <v>44</v>
      </c>
    </row>
    <row r="22" spans="1:5" ht="15.75" customHeight="1">
      <c r="A22" s="198"/>
      <c r="B22" s="147" t="s">
        <v>129</v>
      </c>
      <c r="C22" s="148">
        <f>F15</f>
        <v>18600000</v>
      </c>
      <c r="D22" s="148">
        <v>15000000</v>
      </c>
      <c r="E22" s="149">
        <f t="shared" ref="E22:E27" si="8">C22-D22</f>
        <v>3600000</v>
      </c>
    </row>
    <row r="23" spans="1:5" ht="15.75" customHeight="1">
      <c r="A23" s="198"/>
      <c r="B23" s="150" t="s">
        <v>114</v>
      </c>
      <c r="C23" s="95">
        <f>K15</f>
        <v>4152000</v>
      </c>
      <c r="D23" s="13"/>
      <c r="E23" s="151">
        <f t="shared" si="8"/>
        <v>4152000</v>
      </c>
    </row>
    <row r="24" spans="1:5" ht="15.75" customHeight="1">
      <c r="A24" s="198"/>
      <c r="B24" s="150" t="s">
        <v>116</v>
      </c>
      <c r="C24" s="95">
        <f>M15</f>
        <v>900000</v>
      </c>
      <c r="D24" s="65"/>
      <c r="E24" s="151">
        <f t="shared" si="8"/>
        <v>900000</v>
      </c>
    </row>
    <row r="25" spans="1:5" ht="15.75" customHeight="1">
      <c r="A25" s="198"/>
      <c r="B25" s="150" t="s">
        <v>55</v>
      </c>
      <c r="C25" s="95">
        <f>P15</f>
        <v>850000</v>
      </c>
      <c r="D25" s="65"/>
      <c r="E25" s="151">
        <f t="shared" si="8"/>
        <v>850000</v>
      </c>
    </row>
    <row r="26" spans="1:5" ht="15.75" customHeight="1">
      <c r="A26" s="198"/>
      <c r="B26" s="150" t="s">
        <v>130</v>
      </c>
      <c r="C26" s="95">
        <f>N17</f>
        <v>0</v>
      </c>
      <c r="D26" s="95"/>
      <c r="E26" s="151">
        <f t="shared" si="8"/>
        <v>0</v>
      </c>
    </row>
    <row r="27" spans="1:5" ht="15.75" customHeight="1">
      <c r="A27" s="187"/>
      <c r="B27" s="152" t="s">
        <v>52</v>
      </c>
      <c r="C27" s="153">
        <f>O15</f>
        <v>900000</v>
      </c>
      <c r="D27" s="154"/>
      <c r="E27" s="155">
        <f t="shared" si="8"/>
        <v>900000</v>
      </c>
    </row>
    <row r="28" spans="1:5" ht="15.75" customHeight="1">
      <c r="A28" s="156"/>
      <c r="B28" s="157" t="s">
        <v>57</v>
      </c>
      <c r="C28" s="158">
        <f>SUM(C22:C27)</f>
        <v>25402000</v>
      </c>
      <c r="D28" s="110"/>
      <c r="E28" s="159"/>
    </row>
    <row r="29" spans="1:5" ht="15.75" customHeight="1">
      <c r="A29" s="156"/>
      <c r="B29" s="110"/>
      <c r="C29" s="110"/>
      <c r="D29" s="199" t="s">
        <v>131</v>
      </c>
      <c r="E29" s="200">
        <f>E22+E23+E24+E25+E26+E27</f>
        <v>10402000</v>
      </c>
    </row>
    <row r="30" spans="1:5" ht="15.75" customHeight="1">
      <c r="A30" s="156"/>
      <c r="B30" s="110"/>
      <c r="C30" s="110"/>
      <c r="D30" s="187"/>
      <c r="E30" s="187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2.09765625" customWidth="1"/>
    <col min="21" max="26" width="7.59765625" customWidth="1"/>
  </cols>
  <sheetData>
    <row r="1" spans="1:20" ht="13.8">
      <c r="A1" s="204" t="s">
        <v>118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3.8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</row>
    <row r="3" spans="1:20" ht="13.8">
      <c r="A3" s="186" t="s">
        <v>1</v>
      </c>
      <c r="B3" s="186" t="s">
        <v>2</v>
      </c>
      <c r="C3" s="186" t="s">
        <v>3</v>
      </c>
      <c r="D3" s="186" t="s">
        <v>68</v>
      </c>
      <c r="E3" s="186" t="s">
        <v>5</v>
      </c>
      <c r="F3" s="186" t="s">
        <v>6</v>
      </c>
      <c r="G3" s="186" t="s">
        <v>7</v>
      </c>
      <c r="H3" s="188" t="s">
        <v>8</v>
      </c>
      <c r="I3" s="189"/>
      <c r="J3" s="189"/>
      <c r="K3" s="190"/>
      <c r="L3" s="188" t="s">
        <v>9</v>
      </c>
      <c r="M3" s="201"/>
      <c r="N3" s="202" t="s">
        <v>10</v>
      </c>
      <c r="O3" s="186" t="s">
        <v>11</v>
      </c>
      <c r="P3" s="186" t="s">
        <v>12</v>
      </c>
      <c r="Q3" s="186" t="s">
        <v>13</v>
      </c>
      <c r="R3" s="186" t="s">
        <v>14</v>
      </c>
      <c r="S3" s="186" t="s">
        <v>15</v>
      </c>
      <c r="T3" s="186" t="s">
        <v>17</v>
      </c>
    </row>
    <row r="4" spans="1:20" ht="13.8">
      <c r="A4" s="187"/>
      <c r="B4" s="187"/>
      <c r="C4" s="187"/>
      <c r="D4" s="187"/>
      <c r="E4" s="187"/>
      <c r="F4" s="187"/>
      <c r="G4" s="187"/>
      <c r="H4" s="116" t="s">
        <v>18</v>
      </c>
      <c r="I4" s="116" t="s">
        <v>19</v>
      </c>
      <c r="J4" s="116" t="s">
        <v>20</v>
      </c>
      <c r="K4" s="117" t="s">
        <v>21</v>
      </c>
      <c r="L4" s="116" t="s">
        <v>22</v>
      </c>
      <c r="M4" s="118" t="s">
        <v>21</v>
      </c>
      <c r="N4" s="203"/>
      <c r="O4" s="187"/>
      <c r="P4" s="187"/>
      <c r="Q4" s="187"/>
      <c r="R4" s="187"/>
      <c r="S4" s="187"/>
      <c r="T4" s="187"/>
    </row>
    <row r="5" spans="1:20" ht="13.8">
      <c r="A5" s="119" t="s">
        <v>23</v>
      </c>
      <c r="B5" s="120"/>
      <c r="C5" s="121"/>
      <c r="D5" s="122"/>
      <c r="E5" s="123">
        <v>3500000</v>
      </c>
      <c r="F5" s="123"/>
      <c r="G5" s="124"/>
      <c r="H5" s="123">
        <v>179</v>
      </c>
      <c r="I5" s="123">
        <v>179</v>
      </c>
      <c r="J5" s="123">
        <v>4000</v>
      </c>
      <c r="K5" s="123">
        <f t="shared" ref="K5:K13" si="0">(I5-H5)*J5</f>
        <v>0</v>
      </c>
      <c r="L5" s="123">
        <v>100000</v>
      </c>
      <c r="M5" s="123">
        <f t="shared" ref="M5:M10" si="1">L5*G5</f>
        <v>0</v>
      </c>
      <c r="N5" s="123"/>
      <c r="O5" s="123"/>
      <c r="P5" s="123"/>
      <c r="Q5" s="123">
        <f>F5+K5+M5+O5+P5</f>
        <v>0</v>
      </c>
      <c r="R5" s="125"/>
      <c r="S5" s="130">
        <f t="shared" ref="S5:S13" si="2">Q5-R5</f>
        <v>0</v>
      </c>
      <c r="T5" s="127"/>
    </row>
    <row r="6" spans="1:20" ht="13.8">
      <c r="A6" s="128" t="s">
        <v>24</v>
      </c>
      <c r="B6" s="95"/>
      <c r="C6" s="96"/>
      <c r="D6" s="29"/>
      <c r="E6" s="23"/>
      <c r="F6" s="23"/>
      <c r="G6" s="30"/>
      <c r="H6" s="123">
        <v>1852</v>
      </c>
      <c r="I6" s="123">
        <v>1852</v>
      </c>
      <c r="J6" s="23">
        <v>4000</v>
      </c>
      <c r="K6" s="121">
        <f t="shared" si="0"/>
        <v>0</v>
      </c>
      <c r="L6" s="123">
        <v>100000</v>
      </c>
      <c r="M6" s="123">
        <f t="shared" si="1"/>
        <v>0</v>
      </c>
      <c r="N6" s="13"/>
      <c r="O6" s="23"/>
      <c r="P6" s="23"/>
      <c r="Q6" s="123">
        <f t="shared" ref="Q6:Q7" si="3">F6+K6+M6+P6+O6</f>
        <v>0</v>
      </c>
      <c r="R6" s="23"/>
      <c r="S6" s="130">
        <f t="shared" si="2"/>
        <v>0</v>
      </c>
      <c r="T6" s="129" t="s">
        <v>135</v>
      </c>
    </row>
    <row r="7" spans="1:20" ht="13.8">
      <c r="A7" s="128">
        <v>101</v>
      </c>
      <c r="B7" s="95" t="s">
        <v>124</v>
      </c>
      <c r="C7" s="121" t="s">
        <v>125</v>
      </c>
      <c r="D7" s="29" t="s">
        <v>32</v>
      </c>
      <c r="E7" s="13">
        <v>5000000</v>
      </c>
      <c r="F7" s="13">
        <v>4500000</v>
      </c>
      <c r="G7" s="30">
        <v>2</v>
      </c>
      <c r="H7" s="123">
        <v>354</v>
      </c>
      <c r="I7" s="123">
        <v>389</v>
      </c>
      <c r="J7" s="13">
        <v>4000</v>
      </c>
      <c r="K7" s="121">
        <f t="shared" si="0"/>
        <v>140000</v>
      </c>
      <c r="L7" s="123">
        <v>100000</v>
      </c>
      <c r="M7" s="123">
        <f t="shared" si="1"/>
        <v>200000</v>
      </c>
      <c r="N7" s="13"/>
      <c r="O7" s="13">
        <v>150000</v>
      </c>
      <c r="P7" s="13">
        <v>200000</v>
      </c>
      <c r="Q7" s="123">
        <f t="shared" si="3"/>
        <v>5190000</v>
      </c>
      <c r="R7" s="23"/>
      <c r="S7" s="126">
        <f t="shared" si="2"/>
        <v>5190000</v>
      </c>
      <c r="T7" s="129" t="s">
        <v>126</v>
      </c>
    </row>
    <row r="8" spans="1:20" ht="13.8">
      <c r="A8" s="128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23">
        <v>1367</v>
      </c>
      <c r="I8" s="123">
        <v>1429</v>
      </c>
      <c r="J8" s="13">
        <v>4000</v>
      </c>
      <c r="K8" s="121">
        <f t="shared" si="0"/>
        <v>248000</v>
      </c>
      <c r="L8" s="123">
        <v>100000</v>
      </c>
      <c r="M8" s="123">
        <f t="shared" si="1"/>
        <v>200000</v>
      </c>
      <c r="N8" s="13"/>
      <c r="O8" s="13">
        <v>100000</v>
      </c>
      <c r="P8" s="13">
        <v>200000</v>
      </c>
      <c r="Q8" s="123">
        <f>F8+K8+M8+O8+P8</f>
        <v>4848000</v>
      </c>
      <c r="R8" s="23"/>
      <c r="S8" s="126">
        <f t="shared" si="2"/>
        <v>4848000</v>
      </c>
      <c r="T8" s="129" t="s">
        <v>136</v>
      </c>
    </row>
    <row r="9" spans="1:20" ht="13.8">
      <c r="A9" s="128">
        <v>201</v>
      </c>
      <c r="B9" s="95" t="s">
        <v>127</v>
      </c>
      <c r="C9" s="94" t="s">
        <v>128</v>
      </c>
      <c r="D9" s="29" t="s">
        <v>32</v>
      </c>
      <c r="E9" s="13">
        <v>5700000</v>
      </c>
      <c r="F9" s="13">
        <v>5200000</v>
      </c>
      <c r="G9" s="30">
        <v>2</v>
      </c>
      <c r="H9" s="123">
        <v>1366</v>
      </c>
      <c r="I9" s="123">
        <v>1552</v>
      </c>
      <c r="J9" s="13">
        <v>4000</v>
      </c>
      <c r="K9" s="121">
        <f t="shared" si="0"/>
        <v>744000</v>
      </c>
      <c r="L9" s="123">
        <v>100000</v>
      </c>
      <c r="M9" s="123">
        <f t="shared" si="1"/>
        <v>200000</v>
      </c>
      <c r="N9" s="13"/>
      <c r="O9" s="13">
        <v>300000</v>
      </c>
      <c r="P9" s="13">
        <v>200000</v>
      </c>
      <c r="Q9" s="123">
        <f t="shared" ref="Q9:Q10" si="4">F9+K9+M9+P9+O9</f>
        <v>6644000</v>
      </c>
      <c r="R9" s="23"/>
      <c r="S9" s="126">
        <f t="shared" si="2"/>
        <v>6644000</v>
      </c>
      <c r="T9" s="129"/>
    </row>
    <row r="10" spans="1:20" ht="13.8">
      <c r="A10" s="128">
        <v>202</v>
      </c>
      <c r="B10" s="95" t="s">
        <v>108</v>
      </c>
      <c r="C10" s="94" t="s">
        <v>109</v>
      </c>
      <c r="D10" s="29" t="s">
        <v>32</v>
      </c>
      <c r="E10" s="13">
        <v>5300000</v>
      </c>
      <c r="F10" s="13">
        <v>4800000</v>
      </c>
      <c r="G10" s="30">
        <v>3</v>
      </c>
      <c r="H10" s="123">
        <v>406</v>
      </c>
      <c r="I10" s="123">
        <v>490</v>
      </c>
      <c r="J10" s="13">
        <v>4000</v>
      </c>
      <c r="K10" s="121">
        <f t="shared" si="0"/>
        <v>336000</v>
      </c>
      <c r="L10" s="123">
        <v>100000</v>
      </c>
      <c r="M10" s="123">
        <f t="shared" si="1"/>
        <v>300000</v>
      </c>
      <c r="N10" s="13"/>
      <c r="O10" s="13">
        <v>350000</v>
      </c>
      <c r="P10" s="13">
        <v>250000</v>
      </c>
      <c r="Q10" s="123">
        <f t="shared" si="4"/>
        <v>6036000</v>
      </c>
      <c r="R10" s="23"/>
      <c r="S10" s="126">
        <f t="shared" si="2"/>
        <v>6036000</v>
      </c>
      <c r="T10" s="129"/>
    </row>
    <row r="11" spans="1:20" ht="13.8">
      <c r="A11" s="128"/>
      <c r="B11" s="95"/>
      <c r="C11" s="94"/>
      <c r="D11" s="29"/>
      <c r="E11" s="13"/>
      <c r="F11" s="13"/>
      <c r="G11" s="30"/>
      <c r="H11" s="123"/>
      <c r="I11" s="123"/>
      <c r="J11" s="13"/>
      <c r="K11" s="121">
        <f t="shared" si="0"/>
        <v>0</v>
      </c>
      <c r="L11" s="123"/>
      <c r="M11" s="123"/>
      <c r="N11" s="13"/>
      <c r="O11" s="13"/>
      <c r="P11" s="13"/>
      <c r="Q11" s="123">
        <f t="shared" ref="Q11:Q12" si="5">F11+K11+M11+O11+P11</f>
        <v>0</v>
      </c>
      <c r="R11" s="23"/>
      <c r="S11" s="130">
        <f t="shared" si="2"/>
        <v>0</v>
      </c>
      <c r="T11" s="129"/>
    </row>
    <row r="12" spans="1:20" ht="13.8">
      <c r="A12" s="128"/>
      <c r="B12" s="13"/>
      <c r="C12" s="94"/>
      <c r="D12" s="29"/>
      <c r="E12" s="13"/>
      <c r="F12" s="13"/>
      <c r="G12" s="30"/>
      <c r="H12" s="123"/>
      <c r="I12" s="123"/>
      <c r="J12" s="13"/>
      <c r="K12" s="121">
        <f t="shared" si="0"/>
        <v>0</v>
      </c>
      <c r="L12" s="123"/>
      <c r="M12" s="123"/>
      <c r="N12" s="13"/>
      <c r="O12" s="13"/>
      <c r="P12" s="13"/>
      <c r="Q12" s="123">
        <f t="shared" si="5"/>
        <v>0</v>
      </c>
      <c r="R12" s="23"/>
      <c r="S12" s="130">
        <f t="shared" si="2"/>
        <v>0</v>
      </c>
      <c r="T12" s="129"/>
    </row>
    <row r="13" spans="1:20" ht="13.8">
      <c r="A13" s="128"/>
      <c r="B13" s="13"/>
      <c r="C13" s="94"/>
      <c r="D13" s="29"/>
      <c r="E13" s="13"/>
      <c r="F13" s="13"/>
      <c r="G13" s="30"/>
      <c r="H13" s="123"/>
      <c r="I13" s="123"/>
      <c r="J13" s="13"/>
      <c r="K13" s="121">
        <f t="shared" si="0"/>
        <v>0</v>
      </c>
      <c r="L13" s="123"/>
      <c r="M13" s="123"/>
      <c r="N13" s="13"/>
      <c r="O13" s="13"/>
      <c r="P13" s="13"/>
      <c r="Q13" s="123">
        <f>K13+M13+O13+P13+F13</f>
        <v>0</v>
      </c>
      <c r="R13" s="23"/>
      <c r="S13" s="130">
        <f t="shared" si="2"/>
        <v>0</v>
      </c>
      <c r="T13" s="129"/>
    </row>
    <row r="14" spans="1:20" ht="13.8">
      <c r="A14" s="131"/>
      <c r="B14" s="132"/>
      <c r="C14" s="132"/>
      <c r="D14" s="133"/>
      <c r="E14" s="132"/>
      <c r="F14" s="132"/>
      <c r="G14" s="134"/>
      <c r="H14" s="135"/>
      <c r="I14" s="135"/>
      <c r="J14" s="132"/>
      <c r="K14" s="135"/>
      <c r="L14" s="135"/>
      <c r="M14" s="132"/>
      <c r="N14" s="132"/>
      <c r="O14" s="132"/>
      <c r="P14" s="132"/>
      <c r="Q14" s="135"/>
      <c r="R14" s="135"/>
      <c r="S14" s="132"/>
      <c r="T14" s="136"/>
    </row>
    <row r="15" spans="1:20" ht="16.8">
      <c r="A15" s="137"/>
      <c r="B15" s="138" t="s">
        <v>38</v>
      </c>
      <c r="C15" s="138"/>
      <c r="D15" s="139"/>
      <c r="E15" s="140">
        <f t="shared" ref="E15:G15" si="6">SUM(E5:E14)</f>
        <v>24100000</v>
      </c>
      <c r="F15" s="140">
        <f t="shared" si="6"/>
        <v>18600000</v>
      </c>
      <c r="G15" s="141">
        <f t="shared" si="6"/>
        <v>9</v>
      </c>
      <c r="H15" s="140"/>
      <c r="I15" s="140"/>
      <c r="J15" s="140"/>
      <c r="K15" s="140">
        <f>SUM(K5:K13)</f>
        <v>1468000</v>
      </c>
      <c r="L15" s="140"/>
      <c r="M15" s="140">
        <f t="shared" ref="M15:P15" si="7">SUM(M5:M14)</f>
        <v>900000</v>
      </c>
      <c r="N15" s="142">
        <f t="shared" si="7"/>
        <v>0</v>
      </c>
      <c r="O15" s="142">
        <f t="shared" si="7"/>
        <v>900000</v>
      </c>
      <c r="P15" s="140">
        <f t="shared" si="7"/>
        <v>850000</v>
      </c>
      <c r="Q15" s="140">
        <f>SUM(Q5:Q13)</f>
        <v>22718000</v>
      </c>
      <c r="R15" s="140">
        <f>SUM(R5:R12)</f>
        <v>0</v>
      </c>
      <c r="S15" s="142">
        <f>SUM(S5:S13)</f>
        <v>22718000</v>
      </c>
      <c r="T15" s="143"/>
    </row>
    <row r="19" spans="1:5" ht="13.8">
      <c r="A19" s="191" t="s">
        <v>39</v>
      </c>
      <c r="B19" s="192"/>
      <c r="C19" s="192"/>
      <c r="D19" s="192"/>
      <c r="E19" s="193"/>
    </row>
    <row r="20" spans="1:5" ht="13.8">
      <c r="A20" s="194"/>
      <c r="B20" s="195"/>
      <c r="C20" s="195"/>
      <c r="D20" s="195"/>
      <c r="E20" s="196"/>
    </row>
    <row r="21" spans="1:5" ht="15.75" customHeight="1">
      <c r="A21" s="197" t="s">
        <v>40</v>
      </c>
      <c r="B21" s="144" t="s">
        <v>41</v>
      </c>
      <c r="C21" s="145" t="s">
        <v>42</v>
      </c>
      <c r="D21" s="145" t="s">
        <v>43</v>
      </c>
      <c r="E21" s="146" t="s">
        <v>44</v>
      </c>
    </row>
    <row r="22" spans="1:5" ht="15.75" customHeight="1">
      <c r="A22" s="198"/>
      <c r="B22" s="147" t="s">
        <v>129</v>
      </c>
      <c r="C22" s="148">
        <f>F15</f>
        <v>18600000</v>
      </c>
      <c r="D22" s="148">
        <v>15000000</v>
      </c>
      <c r="E22" s="149">
        <f t="shared" ref="E22:E27" si="8">C22-D22</f>
        <v>3600000</v>
      </c>
    </row>
    <row r="23" spans="1:5" ht="15.75" customHeight="1">
      <c r="A23" s="198"/>
      <c r="B23" s="150" t="s">
        <v>114</v>
      </c>
      <c r="C23" s="95">
        <f>K15</f>
        <v>1468000</v>
      </c>
      <c r="D23" s="13"/>
      <c r="E23" s="151">
        <f t="shared" si="8"/>
        <v>1468000</v>
      </c>
    </row>
    <row r="24" spans="1:5" ht="15.75" customHeight="1">
      <c r="A24" s="198"/>
      <c r="B24" s="150" t="s">
        <v>116</v>
      </c>
      <c r="C24" s="95">
        <f>M15</f>
        <v>900000</v>
      </c>
      <c r="D24" s="65"/>
      <c r="E24" s="151">
        <f t="shared" si="8"/>
        <v>900000</v>
      </c>
    </row>
    <row r="25" spans="1:5" ht="15.75" customHeight="1">
      <c r="A25" s="198"/>
      <c r="B25" s="150" t="s">
        <v>55</v>
      </c>
      <c r="C25" s="95">
        <f>P15</f>
        <v>850000</v>
      </c>
      <c r="D25" s="65"/>
      <c r="E25" s="151">
        <f t="shared" si="8"/>
        <v>850000</v>
      </c>
    </row>
    <row r="26" spans="1:5" ht="15.75" customHeight="1">
      <c r="A26" s="198"/>
      <c r="B26" s="150" t="s">
        <v>130</v>
      </c>
      <c r="C26" s="95">
        <f>N17</f>
        <v>0</v>
      </c>
      <c r="D26" s="95"/>
      <c r="E26" s="151">
        <f t="shared" si="8"/>
        <v>0</v>
      </c>
    </row>
    <row r="27" spans="1:5" ht="15.75" customHeight="1">
      <c r="A27" s="187"/>
      <c r="B27" s="152" t="s">
        <v>52</v>
      </c>
      <c r="C27" s="153">
        <f>O15</f>
        <v>900000</v>
      </c>
      <c r="D27" s="154"/>
      <c r="E27" s="155">
        <f t="shared" si="8"/>
        <v>900000</v>
      </c>
    </row>
    <row r="28" spans="1:5" ht="15.75" customHeight="1">
      <c r="A28" s="156"/>
      <c r="B28" s="157" t="s">
        <v>57</v>
      </c>
      <c r="C28" s="158">
        <f>SUM(C22:C27)</f>
        <v>22718000</v>
      </c>
      <c r="D28" s="110"/>
      <c r="E28" s="159"/>
    </row>
    <row r="29" spans="1:5" ht="15.75" customHeight="1">
      <c r="A29" s="156"/>
      <c r="B29" s="110"/>
      <c r="C29" s="110"/>
      <c r="D29" s="199" t="s">
        <v>131</v>
      </c>
      <c r="E29" s="200">
        <f>E22+E23+E24+E25+E26+E27</f>
        <v>7718000</v>
      </c>
    </row>
    <row r="30" spans="1:5" ht="15.75" customHeight="1">
      <c r="A30" s="156"/>
      <c r="B30" s="110"/>
      <c r="C30" s="110"/>
      <c r="D30" s="187"/>
      <c r="E30" s="187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22.09765625" customWidth="1"/>
    <col min="21" max="26" width="7.59765625" customWidth="1"/>
  </cols>
  <sheetData>
    <row r="1" spans="1:20" ht="13.8">
      <c r="A1" s="204" t="s">
        <v>118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3.8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</row>
    <row r="3" spans="1:20" ht="13.8">
      <c r="A3" s="186" t="s">
        <v>1</v>
      </c>
      <c r="B3" s="186" t="s">
        <v>2</v>
      </c>
      <c r="C3" s="186" t="s">
        <v>3</v>
      </c>
      <c r="D3" s="186" t="s">
        <v>68</v>
      </c>
      <c r="E3" s="186" t="s">
        <v>5</v>
      </c>
      <c r="F3" s="186" t="s">
        <v>6</v>
      </c>
      <c r="G3" s="186" t="s">
        <v>7</v>
      </c>
      <c r="H3" s="188" t="s">
        <v>8</v>
      </c>
      <c r="I3" s="189"/>
      <c r="J3" s="189"/>
      <c r="K3" s="190"/>
      <c r="L3" s="188" t="s">
        <v>9</v>
      </c>
      <c r="M3" s="201"/>
      <c r="N3" s="202" t="s">
        <v>10</v>
      </c>
      <c r="O3" s="186" t="s">
        <v>11</v>
      </c>
      <c r="P3" s="186" t="s">
        <v>12</v>
      </c>
      <c r="Q3" s="186" t="s">
        <v>13</v>
      </c>
      <c r="R3" s="186" t="s">
        <v>14</v>
      </c>
      <c r="S3" s="186" t="s">
        <v>15</v>
      </c>
      <c r="T3" s="186" t="s">
        <v>17</v>
      </c>
    </row>
    <row r="4" spans="1:20" ht="13.8">
      <c r="A4" s="187"/>
      <c r="B4" s="187"/>
      <c r="C4" s="187"/>
      <c r="D4" s="187"/>
      <c r="E4" s="187"/>
      <c r="F4" s="187"/>
      <c r="G4" s="187"/>
      <c r="H4" s="116" t="s">
        <v>18</v>
      </c>
      <c r="I4" s="116" t="s">
        <v>19</v>
      </c>
      <c r="J4" s="116" t="s">
        <v>20</v>
      </c>
      <c r="K4" s="117" t="s">
        <v>21</v>
      </c>
      <c r="L4" s="116" t="s">
        <v>22</v>
      </c>
      <c r="M4" s="118" t="s">
        <v>21</v>
      </c>
      <c r="N4" s="203"/>
      <c r="O4" s="187"/>
      <c r="P4" s="187"/>
      <c r="Q4" s="187"/>
      <c r="R4" s="187"/>
      <c r="S4" s="187"/>
      <c r="T4" s="187"/>
    </row>
    <row r="5" spans="1:20" ht="13.8">
      <c r="A5" s="119" t="s">
        <v>23</v>
      </c>
      <c r="B5" s="120"/>
      <c r="C5" s="121"/>
      <c r="D5" s="122"/>
      <c r="E5" s="123">
        <v>3500000</v>
      </c>
      <c r="F5" s="123"/>
      <c r="G5" s="124"/>
      <c r="H5" s="123">
        <v>179</v>
      </c>
      <c r="I5" s="123">
        <v>179</v>
      </c>
      <c r="J5" s="123">
        <v>4000</v>
      </c>
      <c r="K5" s="123">
        <f t="shared" ref="K5:K13" si="0">(I5-H5)*J5</f>
        <v>0</v>
      </c>
      <c r="L5" s="123">
        <v>100000</v>
      </c>
      <c r="M5" s="123">
        <f t="shared" ref="M5:M10" si="1">L5*G5</f>
        <v>0</v>
      </c>
      <c r="N5" s="123"/>
      <c r="O5" s="123"/>
      <c r="P5" s="123"/>
      <c r="Q5" s="123">
        <f>F5+K5+M5+O5+P5</f>
        <v>0</v>
      </c>
      <c r="R5" s="125"/>
      <c r="S5" s="130">
        <f t="shared" ref="S5:S13" si="2">Q5-R5</f>
        <v>0</v>
      </c>
      <c r="T5" s="127"/>
    </row>
    <row r="6" spans="1:20" ht="13.8">
      <c r="A6" s="128" t="s">
        <v>24</v>
      </c>
      <c r="B6" s="95" t="s">
        <v>25</v>
      </c>
      <c r="C6" s="96" t="s">
        <v>92</v>
      </c>
      <c r="D6" s="29" t="s">
        <v>26</v>
      </c>
      <c r="E6" s="23">
        <v>4000000</v>
      </c>
      <c r="F6" s="23">
        <v>3500000</v>
      </c>
      <c r="G6" s="30">
        <v>1</v>
      </c>
      <c r="H6" s="123">
        <v>1859</v>
      </c>
      <c r="I6" s="123">
        <v>1859</v>
      </c>
      <c r="J6" s="23">
        <v>4000</v>
      </c>
      <c r="K6" s="121">
        <f t="shared" si="0"/>
        <v>0</v>
      </c>
      <c r="L6" s="123">
        <v>100000</v>
      </c>
      <c r="M6" s="123">
        <f t="shared" si="1"/>
        <v>100000</v>
      </c>
      <c r="N6" s="13"/>
      <c r="O6" s="23">
        <v>100000</v>
      </c>
      <c r="P6" s="23">
        <v>200000</v>
      </c>
      <c r="Q6" s="123">
        <f t="shared" ref="Q6:Q7" si="3">F6+K6+M6+P6+O6</f>
        <v>3900000</v>
      </c>
      <c r="R6" s="23"/>
      <c r="S6" s="126">
        <f t="shared" si="2"/>
        <v>3900000</v>
      </c>
      <c r="T6" s="129"/>
    </row>
    <row r="7" spans="1:20" ht="13.8">
      <c r="A7" s="128">
        <v>101</v>
      </c>
      <c r="B7" s="95" t="s">
        <v>124</v>
      </c>
      <c r="C7" s="121" t="s">
        <v>125</v>
      </c>
      <c r="D7" s="29" t="s">
        <v>32</v>
      </c>
      <c r="E7" s="13">
        <v>5000000</v>
      </c>
      <c r="F7" s="13">
        <v>4500000</v>
      </c>
      <c r="G7" s="30">
        <v>2</v>
      </c>
      <c r="H7" s="123">
        <v>389</v>
      </c>
      <c r="I7" s="123">
        <v>445</v>
      </c>
      <c r="J7" s="13">
        <v>4000</v>
      </c>
      <c r="K7" s="121">
        <f t="shared" si="0"/>
        <v>224000</v>
      </c>
      <c r="L7" s="123">
        <v>100000</v>
      </c>
      <c r="M7" s="123">
        <f t="shared" si="1"/>
        <v>200000</v>
      </c>
      <c r="N7" s="13"/>
      <c r="O7" s="13">
        <v>150000</v>
      </c>
      <c r="P7" s="13">
        <v>200000</v>
      </c>
      <c r="Q7" s="123">
        <f t="shared" si="3"/>
        <v>5274000</v>
      </c>
      <c r="R7" s="23"/>
      <c r="S7" s="130">
        <f t="shared" si="2"/>
        <v>5274000</v>
      </c>
      <c r="T7" s="129" t="s">
        <v>126</v>
      </c>
    </row>
    <row r="8" spans="1:20" ht="13.8">
      <c r="A8" s="128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23">
        <v>1429</v>
      </c>
      <c r="I8" s="123">
        <v>1759</v>
      </c>
      <c r="J8" s="13">
        <v>4000</v>
      </c>
      <c r="K8" s="121">
        <f t="shared" si="0"/>
        <v>1320000</v>
      </c>
      <c r="L8" s="123">
        <v>100000</v>
      </c>
      <c r="M8" s="123">
        <f t="shared" si="1"/>
        <v>200000</v>
      </c>
      <c r="N8" s="13"/>
      <c r="O8" s="13"/>
      <c r="P8" s="13">
        <v>200000</v>
      </c>
      <c r="Q8" s="123">
        <f>F8+K8+M8+O8+P8</f>
        <v>5820000</v>
      </c>
      <c r="R8" s="23"/>
      <c r="S8" s="126">
        <f t="shared" si="2"/>
        <v>5820000</v>
      </c>
      <c r="T8" s="129"/>
    </row>
    <row r="9" spans="1:20" ht="13.8">
      <c r="A9" s="128">
        <v>201</v>
      </c>
      <c r="B9" s="95" t="s">
        <v>127</v>
      </c>
      <c r="C9" s="94" t="s">
        <v>128</v>
      </c>
      <c r="D9" s="29" t="s">
        <v>32</v>
      </c>
      <c r="E9" s="13">
        <v>5700000</v>
      </c>
      <c r="F9" s="13">
        <v>5200000</v>
      </c>
      <c r="G9" s="30">
        <v>2</v>
      </c>
      <c r="H9" s="123">
        <v>1552</v>
      </c>
      <c r="I9" s="123">
        <v>1817</v>
      </c>
      <c r="J9" s="13">
        <v>4000</v>
      </c>
      <c r="K9" s="121">
        <f t="shared" si="0"/>
        <v>1060000</v>
      </c>
      <c r="L9" s="123">
        <v>100000</v>
      </c>
      <c r="M9" s="123">
        <f t="shared" si="1"/>
        <v>200000</v>
      </c>
      <c r="N9" s="13"/>
      <c r="O9" s="13">
        <v>300000</v>
      </c>
      <c r="P9" s="13">
        <v>200000</v>
      </c>
      <c r="Q9" s="123">
        <f t="shared" ref="Q9:Q10" si="4">F9+K9+M9+P9+O9</f>
        <v>6960000</v>
      </c>
      <c r="R9" s="23"/>
      <c r="S9" s="126">
        <f t="shared" si="2"/>
        <v>6960000</v>
      </c>
      <c r="T9" s="129"/>
    </row>
    <row r="10" spans="1:20" ht="13.8">
      <c r="A10" s="128">
        <v>202</v>
      </c>
      <c r="B10" s="95" t="s">
        <v>108</v>
      </c>
      <c r="C10" s="94" t="s">
        <v>109</v>
      </c>
      <c r="D10" s="29" t="s">
        <v>32</v>
      </c>
      <c r="E10" s="13">
        <v>5300000</v>
      </c>
      <c r="F10" s="13">
        <v>4800000</v>
      </c>
      <c r="G10" s="30">
        <v>3</v>
      </c>
      <c r="H10" s="123">
        <v>490</v>
      </c>
      <c r="I10" s="123">
        <v>602</v>
      </c>
      <c r="J10" s="13">
        <v>4000</v>
      </c>
      <c r="K10" s="121">
        <f t="shared" si="0"/>
        <v>448000</v>
      </c>
      <c r="L10" s="123">
        <v>100000</v>
      </c>
      <c r="M10" s="123">
        <f t="shared" si="1"/>
        <v>300000</v>
      </c>
      <c r="N10" s="13"/>
      <c r="O10" s="13">
        <v>350000</v>
      </c>
      <c r="P10" s="13">
        <v>250000</v>
      </c>
      <c r="Q10" s="123">
        <f t="shared" si="4"/>
        <v>6148000</v>
      </c>
      <c r="R10" s="23"/>
      <c r="S10" s="126">
        <f t="shared" si="2"/>
        <v>6148000</v>
      </c>
      <c r="T10" s="129"/>
    </row>
    <row r="11" spans="1:20" ht="13.8">
      <c r="A11" s="128"/>
      <c r="B11" s="95"/>
      <c r="C11" s="94"/>
      <c r="D11" s="29"/>
      <c r="E11" s="13"/>
      <c r="F11" s="13"/>
      <c r="G11" s="30"/>
      <c r="H11" s="123"/>
      <c r="I11" s="123"/>
      <c r="J11" s="13"/>
      <c r="K11" s="121">
        <f t="shared" si="0"/>
        <v>0</v>
      </c>
      <c r="L11" s="123"/>
      <c r="M11" s="123"/>
      <c r="N11" s="13"/>
      <c r="O11" s="13"/>
      <c r="P11" s="13"/>
      <c r="Q11" s="123">
        <f t="shared" ref="Q11:Q12" si="5">F11+K11+M11+O11+P11</f>
        <v>0</v>
      </c>
      <c r="R11" s="23"/>
      <c r="S11" s="130">
        <f t="shared" si="2"/>
        <v>0</v>
      </c>
      <c r="T11" s="129"/>
    </row>
    <row r="12" spans="1:20" ht="13.8">
      <c r="A12" s="128"/>
      <c r="B12" s="13"/>
      <c r="C12" s="94"/>
      <c r="D12" s="29"/>
      <c r="E12" s="13"/>
      <c r="F12" s="13"/>
      <c r="G12" s="30"/>
      <c r="H12" s="123"/>
      <c r="I12" s="123"/>
      <c r="J12" s="13"/>
      <c r="K12" s="121">
        <f t="shared" si="0"/>
        <v>0</v>
      </c>
      <c r="L12" s="123"/>
      <c r="M12" s="123"/>
      <c r="N12" s="13"/>
      <c r="O12" s="13"/>
      <c r="P12" s="13"/>
      <c r="Q12" s="123">
        <f t="shared" si="5"/>
        <v>0</v>
      </c>
      <c r="R12" s="23"/>
      <c r="S12" s="130">
        <f t="shared" si="2"/>
        <v>0</v>
      </c>
      <c r="T12" s="129"/>
    </row>
    <row r="13" spans="1:20" ht="13.8">
      <c r="A13" s="128"/>
      <c r="B13" s="13"/>
      <c r="C13" s="94"/>
      <c r="D13" s="29"/>
      <c r="E13" s="13"/>
      <c r="F13" s="13"/>
      <c r="G13" s="30"/>
      <c r="H13" s="123"/>
      <c r="I13" s="123"/>
      <c r="J13" s="13"/>
      <c r="K13" s="121">
        <f t="shared" si="0"/>
        <v>0</v>
      </c>
      <c r="L13" s="123"/>
      <c r="M13" s="123"/>
      <c r="N13" s="13"/>
      <c r="O13" s="13"/>
      <c r="P13" s="13"/>
      <c r="Q13" s="123">
        <f>K13+M13+O13+P13+F13</f>
        <v>0</v>
      </c>
      <c r="R13" s="23"/>
      <c r="S13" s="130">
        <f t="shared" si="2"/>
        <v>0</v>
      </c>
      <c r="T13" s="129"/>
    </row>
    <row r="14" spans="1:20" ht="13.8">
      <c r="A14" s="131"/>
      <c r="B14" s="132"/>
      <c r="C14" s="132"/>
      <c r="D14" s="133"/>
      <c r="E14" s="132"/>
      <c r="F14" s="132"/>
      <c r="G14" s="134"/>
      <c r="H14" s="135"/>
      <c r="I14" s="135"/>
      <c r="J14" s="132"/>
      <c r="K14" s="135"/>
      <c r="L14" s="135"/>
      <c r="M14" s="132"/>
      <c r="N14" s="132"/>
      <c r="O14" s="132"/>
      <c r="P14" s="132"/>
      <c r="Q14" s="135"/>
      <c r="R14" s="135"/>
      <c r="S14" s="132"/>
      <c r="T14" s="136"/>
    </row>
    <row r="15" spans="1:20" ht="16.8">
      <c r="A15" s="137"/>
      <c r="B15" s="138" t="s">
        <v>38</v>
      </c>
      <c r="C15" s="138"/>
      <c r="D15" s="139"/>
      <c r="E15" s="140">
        <f t="shared" ref="E15:G15" si="6">SUM(E5:E14)</f>
        <v>28100000</v>
      </c>
      <c r="F15" s="140">
        <f t="shared" si="6"/>
        <v>22100000</v>
      </c>
      <c r="G15" s="141">
        <f t="shared" si="6"/>
        <v>10</v>
      </c>
      <c r="H15" s="140"/>
      <c r="I15" s="140"/>
      <c r="J15" s="140"/>
      <c r="K15" s="140">
        <f>SUM(K5:K13)</f>
        <v>3052000</v>
      </c>
      <c r="L15" s="140"/>
      <c r="M15" s="140">
        <f t="shared" ref="M15:P15" si="7">SUM(M5:M14)</f>
        <v>1000000</v>
      </c>
      <c r="N15" s="142">
        <f t="shared" si="7"/>
        <v>0</v>
      </c>
      <c r="O15" s="142">
        <f t="shared" si="7"/>
        <v>900000</v>
      </c>
      <c r="P15" s="140">
        <f t="shared" si="7"/>
        <v>1050000</v>
      </c>
      <c r="Q15" s="140">
        <f>SUM(Q5:Q13)</f>
        <v>28102000</v>
      </c>
      <c r="R15" s="140">
        <f>SUM(R5:R12)</f>
        <v>0</v>
      </c>
      <c r="S15" s="142">
        <f>SUM(S5:S13)</f>
        <v>28102000</v>
      </c>
      <c r="T15" s="143"/>
    </row>
    <row r="19" spans="1:5" ht="13.8">
      <c r="A19" s="191" t="s">
        <v>39</v>
      </c>
      <c r="B19" s="192"/>
      <c r="C19" s="192"/>
      <c r="D19" s="192"/>
      <c r="E19" s="193"/>
    </row>
    <row r="20" spans="1:5" ht="13.8">
      <c r="A20" s="194"/>
      <c r="B20" s="195"/>
      <c r="C20" s="195"/>
      <c r="D20" s="195"/>
      <c r="E20" s="196"/>
    </row>
    <row r="21" spans="1:5" ht="15.75" customHeight="1">
      <c r="A21" s="197" t="s">
        <v>40</v>
      </c>
      <c r="B21" s="144" t="s">
        <v>41</v>
      </c>
      <c r="C21" s="145" t="s">
        <v>42</v>
      </c>
      <c r="D21" s="145" t="s">
        <v>43</v>
      </c>
      <c r="E21" s="146" t="s">
        <v>44</v>
      </c>
    </row>
    <row r="22" spans="1:5" ht="15.75" customHeight="1">
      <c r="A22" s="198"/>
      <c r="B22" s="147" t="s">
        <v>129</v>
      </c>
      <c r="C22" s="148">
        <f>F15</f>
        <v>22100000</v>
      </c>
      <c r="D22" s="148">
        <v>15000000</v>
      </c>
      <c r="E22" s="149">
        <f t="shared" ref="E22:E27" si="8">C22-D22</f>
        <v>7100000</v>
      </c>
    </row>
    <row r="23" spans="1:5" ht="15.75" customHeight="1">
      <c r="A23" s="198"/>
      <c r="B23" s="150" t="s">
        <v>114</v>
      </c>
      <c r="C23" s="95">
        <f>K15</f>
        <v>3052000</v>
      </c>
      <c r="D23" s="13"/>
      <c r="E23" s="151">
        <f t="shared" si="8"/>
        <v>3052000</v>
      </c>
    </row>
    <row r="24" spans="1:5" ht="15.75" customHeight="1">
      <c r="A24" s="198"/>
      <c r="B24" s="150" t="s">
        <v>116</v>
      </c>
      <c r="C24" s="95">
        <f>M15</f>
        <v>1000000</v>
      </c>
      <c r="D24" s="65"/>
      <c r="E24" s="151">
        <f t="shared" si="8"/>
        <v>1000000</v>
      </c>
    </row>
    <row r="25" spans="1:5" ht="15.75" customHeight="1">
      <c r="A25" s="198"/>
      <c r="B25" s="150" t="s">
        <v>55</v>
      </c>
      <c r="C25" s="95">
        <f>P15</f>
        <v>1050000</v>
      </c>
      <c r="D25" s="65"/>
      <c r="E25" s="151">
        <f t="shared" si="8"/>
        <v>1050000</v>
      </c>
    </row>
    <row r="26" spans="1:5" ht="15.75" customHeight="1">
      <c r="A26" s="198"/>
      <c r="B26" s="150" t="s">
        <v>130</v>
      </c>
      <c r="C26" s="95">
        <f>N17</f>
        <v>0</v>
      </c>
      <c r="D26" s="95"/>
      <c r="E26" s="151">
        <f t="shared" si="8"/>
        <v>0</v>
      </c>
    </row>
    <row r="27" spans="1:5" ht="15.75" customHeight="1">
      <c r="A27" s="187"/>
      <c r="B27" s="152" t="s">
        <v>52</v>
      </c>
      <c r="C27" s="153">
        <f>O15</f>
        <v>900000</v>
      </c>
      <c r="D27" s="154"/>
      <c r="E27" s="155">
        <f t="shared" si="8"/>
        <v>900000</v>
      </c>
    </row>
    <row r="28" spans="1:5" ht="15.75" customHeight="1">
      <c r="A28" s="156"/>
      <c r="B28" s="157" t="s">
        <v>57</v>
      </c>
      <c r="C28" s="158">
        <f>SUM(C22:C27)</f>
        <v>28102000</v>
      </c>
      <c r="D28" s="110"/>
      <c r="E28" s="159"/>
    </row>
    <row r="29" spans="1:5" ht="15.75" customHeight="1">
      <c r="A29" s="156"/>
      <c r="B29" s="110"/>
      <c r="C29" s="110"/>
      <c r="D29" s="199" t="s">
        <v>131</v>
      </c>
      <c r="E29" s="200">
        <f>E22+E23+E24+E25+E26+E27</f>
        <v>13102000</v>
      </c>
    </row>
    <row r="30" spans="1:5" ht="15.75" customHeight="1">
      <c r="A30" s="156"/>
      <c r="B30" s="110"/>
      <c r="C30" s="110"/>
      <c r="D30" s="187"/>
      <c r="E30" s="187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34.8984375" customWidth="1"/>
    <col min="21" max="26" width="7.59765625" customWidth="1"/>
  </cols>
  <sheetData>
    <row r="1" spans="1:20" ht="13.8">
      <c r="A1" s="204" t="s">
        <v>118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3.8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</row>
    <row r="3" spans="1:20" ht="13.8">
      <c r="A3" s="186" t="s">
        <v>1</v>
      </c>
      <c r="B3" s="186" t="s">
        <v>2</v>
      </c>
      <c r="C3" s="186" t="s">
        <v>3</v>
      </c>
      <c r="D3" s="186" t="s">
        <v>68</v>
      </c>
      <c r="E3" s="186" t="s">
        <v>5</v>
      </c>
      <c r="F3" s="186" t="s">
        <v>6</v>
      </c>
      <c r="G3" s="186" t="s">
        <v>7</v>
      </c>
      <c r="H3" s="188" t="s">
        <v>8</v>
      </c>
      <c r="I3" s="189"/>
      <c r="J3" s="189"/>
      <c r="K3" s="190"/>
      <c r="L3" s="188" t="s">
        <v>9</v>
      </c>
      <c r="M3" s="201"/>
      <c r="N3" s="202" t="s">
        <v>10</v>
      </c>
      <c r="O3" s="186" t="s">
        <v>11</v>
      </c>
      <c r="P3" s="186" t="s">
        <v>12</v>
      </c>
      <c r="Q3" s="186" t="s">
        <v>13</v>
      </c>
      <c r="R3" s="186" t="s">
        <v>14</v>
      </c>
      <c r="S3" s="186" t="s">
        <v>15</v>
      </c>
      <c r="T3" s="186" t="s">
        <v>17</v>
      </c>
    </row>
    <row r="4" spans="1:20" ht="13.8">
      <c r="A4" s="187"/>
      <c r="B4" s="187"/>
      <c r="C4" s="187"/>
      <c r="D4" s="187"/>
      <c r="E4" s="187"/>
      <c r="F4" s="187"/>
      <c r="G4" s="187"/>
      <c r="H4" s="116" t="s">
        <v>18</v>
      </c>
      <c r="I4" s="116" t="s">
        <v>19</v>
      </c>
      <c r="J4" s="116" t="s">
        <v>20</v>
      </c>
      <c r="K4" s="117" t="s">
        <v>21</v>
      </c>
      <c r="L4" s="116" t="s">
        <v>22</v>
      </c>
      <c r="M4" s="118" t="s">
        <v>21</v>
      </c>
      <c r="N4" s="203"/>
      <c r="O4" s="187"/>
      <c r="P4" s="187"/>
      <c r="Q4" s="187"/>
      <c r="R4" s="187"/>
      <c r="S4" s="187"/>
      <c r="T4" s="187"/>
    </row>
    <row r="5" spans="1:20" ht="13.8">
      <c r="A5" s="119" t="s">
        <v>23</v>
      </c>
      <c r="B5" s="120"/>
      <c r="C5" s="121"/>
      <c r="D5" s="122"/>
      <c r="E5" s="123">
        <v>3500000</v>
      </c>
      <c r="F5" s="123"/>
      <c r="G5" s="124"/>
      <c r="H5" s="123">
        <v>179</v>
      </c>
      <c r="I5" s="123">
        <v>179</v>
      </c>
      <c r="J5" s="123">
        <v>4000</v>
      </c>
      <c r="K5" s="123">
        <f t="shared" ref="K5:K13" si="0">(I5-H5)*J5</f>
        <v>0</v>
      </c>
      <c r="L5" s="123">
        <v>100000</v>
      </c>
      <c r="M5" s="123">
        <f t="shared" ref="M5:M10" si="1">L5*G5</f>
        <v>0</v>
      </c>
      <c r="N5" s="123"/>
      <c r="O5" s="123"/>
      <c r="P5" s="123"/>
      <c r="Q5" s="123">
        <f>F5+K5+M5+O5+P5</f>
        <v>0</v>
      </c>
      <c r="R5" s="125"/>
      <c r="S5" s="130">
        <f t="shared" ref="S5:S13" si="2">Q5-R5</f>
        <v>0</v>
      </c>
      <c r="T5" s="127"/>
    </row>
    <row r="6" spans="1:20" ht="13.8">
      <c r="A6" s="128" t="s">
        <v>24</v>
      </c>
      <c r="B6" s="95" t="s">
        <v>25</v>
      </c>
      <c r="C6" s="96" t="s">
        <v>92</v>
      </c>
      <c r="D6" s="29" t="s">
        <v>26</v>
      </c>
      <c r="E6" s="23">
        <v>4000000</v>
      </c>
      <c r="F6" s="23">
        <v>3500000</v>
      </c>
      <c r="G6" s="30">
        <v>1</v>
      </c>
      <c r="H6" s="123">
        <v>1859</v>
      </c>
      <c r="I6" s="123">
        <v>2167</v>
      </c>
      <c r="J6" s="23">
        <v>4000</v>
      </c>
      <c r="K6" s="121">
        <f t="shared" si="0"/>
        <v>1232000</v>
      </c>
      <c r="L6" s="123">
        <v>100000</v>
      </c>
      <c r="M6" s="123">
        <f t="shared" si="1"/>
        <v>100000</v>
      </c>
      <c r="N6" s="13"/>
      <c r="O6" s="23">
        <v>100000</v>
      </c>
      <c r="P6" s="23">
        <v>200000</v>
      </c>
      <c r="Q6" s="123">
        <f t="shared" ref="Q6:Q7" si="3">F6+K6+M6+P6+O6</f>
        <v>5132000</v>
      </c>
      <c r="R6" s="23"/>
      <c r="S6" s="126">
        <f t="shared" si="2"/>
        <v>5132000</v>
      </c>
      <c r="T6" s="129"/>
    </row>
    <row r="7" spans="1:20" ht="13.8">
      <c r="A7" s="128">
        <v>101</v>
      </c>
      <c r="B7" s="95" t="s">
        <v>124</v>
      </c>
      <c r="C7" s="121" t="s">
        <v>125</v>
      </c>
      <c r="D7" s="29" t="s">
        <v>32</v>
      </c>
      <c r="E7" s="13">
        <v>5000000</v>
      </c>
      <c r="F7" s="13"/>
      <c r="G7" s="30"/>
      <c r="H7" s="123">
        <v>445</v>
      </c>
      <c r="I7" s="123">
        <v>529</v>
      </c>
      <c r="J7" s="13">
        <v>4000</v>
      </c>
      <c r="K7" s="121">
        <f t="shared" si="0"/>
        <v>336000</v>
      </c>
      <c r="L7" s="123">
        <v>100000</v>
      </c>
      <c r="M7" s="123">
        <f t="shared" si="1"/>
        <v>0</v>
      </c>
      <c r="N7" s="13"/>
      <c r="O7" s="13"/>
      <c r="P7" s="13"/>
      <c r="Q7" s="123">
        <f t="shared" si="3"/>
        <v>336000</v>
      </c>
      <c r="R7" s="23"/>
      <c r="S7" s="126">
        <f t="shared" si="2"/>
        <v>336000</v>
      </c>
      <c r="T7" s="129" t="s">
        <v>137</v>
      </c>
    </row>
    <row r="8" spans="1:20" ht="13.8">
      <c r="A8" s="128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23">
        <v>1759</v>
      </c>
      <c r="I8" s="123">
        <v>2155</v>
      </c>
      <c r="J8" s="13">
        <v>4000</v>
      </c>
      <c r="K8" s="121">
        <f t="shared" si="0"/>
        <v>1584000</v>
      </c>
      <c r="L8" s="123">
        <v>100000</v>
      </c>
      <c r="M8" s="123">
        <f t="shared" si="1"/>
        <v>200000</v>
      </c>
      <c r="N8" s="13"/>
      <c r="O8" s="13"/>
      <c r="P8" s="13">
        <v>200000</v>
      </c>
      <c r="Q8" s="123">
        <f>F8+K8+M8+O8+P8</f>
        <v>6084000</v>
      </c>
      <c r="R8" s="23"/>
      <c r="S8" s="126">
        <f t="shared" si="2"/>
        <v>6084000</v>
      </c>
      <c r="T8" s="129"/>
    </row>
    <row r="9" spans="1:20" ht="13.8">
      <c r="A9" s="128">
        <v>201</v>
      </c>
      <c r="B9" s="95" t="s">
        <v>127</v>
      </c>
      <c r="C9" s="94" t="s">
        <v>128</v>
      </c>
      <c r="D9" s="29" t="s">
        <v>32</v>
      </c>
      <c r="E9" s="13">
        <v>5700000</v>
      </c>
      <c r="F9" s="13">
        <v>5200000</v>
      </c>
      <c r="G9" s="30">
        <v>2</v>
      </c>
      <c r="H9" s="123">
        <v>1817</v>
      </c>
      <c r="I9" s="123">
        <v>2118</v>
      </c>
      <c r="J9" s="13">
        <v>4000</v>
      </c>
      <c r="K9" s="121">
        <f t="shared" si="0"/>
        <v>1204000</v>
      </c>
      <c r="L9" s="123">
        <v>100000</v>
      </c>
      <c r="M9" s="123">
        <f t="shared" si="1"/>
        <v>200000</v>
      </c>
      <c r="N9" s="13"/>
      <c r="O9" s="13">
        <v>300000</v>
      </c>
      <c r="P9" s="13">
        <v>200000</v>
      </c>
      <c r="Q9" s="123">
        <f t="shared" ref="Q9:Q10" si="4">F9+K9+M9+P9+O9</f>
        <v>7104000</v>
      </c>
      <c r="R9" s="23"/>
      <c r="S9" s="126">
        <f t="shared" si="2"/>
        <v>7104000</v>
      </c>
      <c r="T9" s="129"/>
    </row>
    <row r="10" spans="1:20" ht="13.8">
      <c r="A10" s="128">
        <v>202</v>
      </c>
      <c r="B10" s="95" t="s">
        <v>108</v>
      </c>
      <c r="C10" s="94" t="s">
        <v>109</v>
      </c>
      <c r="D10" s="29" t="s">
        <v>32</v>
      </c>
      <c r="E10" s="13">
        <v>5300000</v>
      </c>
      <c r="F10" s="13">
        <v>4800000</v>
      </c>
      <c r="G10" s="30">
        <v>3</v>
      </c>
      <c r="H10" s="123">
        <v>602</v>
      </c>
      <c r="I10" s="123">
        <v>745</v>
      </c>
      <c r="J10" s="13">
        <v>4000</v>
      </c>
      <c r="K10" s="121">
        <f t="shared" si="0"/>
        <v>572000</v>
      </c>
      <c r="L10" s="123">
        <v>100000</v>
      </c>
      <c r="M10" s="123">
        <f t="shared" si="1"/>
        <v>300000</v>
      </c>
      <c r="N10" s="13"/>
      <c r="O10" s="13">
        <v>350000</v>
      </c>
      <c r="P10" s="13">
        <v>250000</v>
      </c>
      <c r="Q10" s="123">
        <f t="shared" si="4"/>
        <v>6272000</v>
      </c>
      <c r="R10" s="23"/>
      <c r="S10" s="126">
        <f t="shared" si="2"/>
        <v>6272000</v>
      </c>
      <c r="T10" s="129"/>
    </row>
    <row r="11" spans="1:20" ht="13.8">
      <c r="A11" s="128"/>
      <c r="B11" s="95"/>
      <c r="C11" s="94"/>
      <c r="D11" s="29"/>
      <c r="E11" s="13"/>
      <c r="F11" s="13"/>
      <c r="G11" s="30"/>
      <c r="H11" s="123"/>
      <c r="I11" s="123"/>
      <c r="J11" s="13"/>
      <c r="K11" s="121">
        <f t="shared" si="0"/>
        <v>0</v>
      </c>
      <c r="L11" s="123"/>
      <c r="M11" s="123"/>
      <c r="N11" s="13"/>
      <c r="O11" s="13"/>
      <c r="P11" s="13"/>
      <c r="Q11" s="123">
        <f t="shared" ref="Q11:Q12" si="5">F11+K11+M11+O11+P11</f>
        <v>0</v>
      </c>
      <c r="R11" s="23"/>
      <c r="S11" s="130">
        <f t="shared" si="2"/>
        <v>0</v>
      </c>
      <c r="T11" s="129"/>
    </row>
    <row r="12" spans="1:20" ht="13.8">
      <c r="A12" s="128"/>
      <c r="B12" s="13"/>
      <c r="C12" s="94"/>
      <c r="D12" s="29"/>
      <c r="E12" s="13"/>
      <c r="F12" s="13"/>
      <c r="G12" s="30"/>
      <c r="H12" s="123"/>
      <c r="I12" s="123"/>
      <c r="J12" s="13"/>
      <c r="K12" s="121">
        <f t="shared" si="0"/>
        <v>0</v>
      </c>
      <c r="L12" s="123"/>
      <c r="M12" s="123"/>
      <c r="N12" s="13"/>
      <c r="O12" s="13"/>
      <c r="P12" s="13"/>
      <c r="Q12" s="123">
        <f t="shared" si="5"/>
        <v>0</v>
      </c>
      <c r="R12" s="23"/>
      <c r="S12" s="130">
        <f t="shared" si="2"/>
        <v>0</v>
      </c>
      <c r="T12" s="129"/>
    </row>
    <row r="13" spans="1:20" ht="13.8">
      <c r="A13" s="128"/>
      <c r="B13" s="13"/>
      <c r="C13" s="94"/>
      <c r="D13" s="29"/>
      <c r="E13" s="13"/>
      <c r="F13" s="13"/>
      <c r="G13" s="30"/>
      <c r="H13" s="123"/>
      <c r="I13" s="123"/>
      <c r="J13" s="13"/>
      <c r="K13" s="121">
        <f t="shared" si="0"/>
        <v>0</v>
      </c>
      <c r="L13" s="123"/>
      <c r="M13" s="123"/>
      <c r="N13" s="13"/>
      <c r="O13" s="13"/>
      <c r="P13" s="13"/>
      <c r="Q13" s="123">
        <f>K13+M13+O13+P13+F13</f>
        <v>0</v>
      </c>
      <c r="R13" s="23"/>
      <c r="S13" s="130">
        <f t="shared" si="2"/>
        <v>0</v>
      </c>
      <c r="T13" s="129"/>
    </row>
    <row r="14" spans="1:20" ht="13.8">
      <c r="A14" s="131"/>
      <c r="B14" s="132"/>
      <c r="C14" s="132"/>
      <c r="D14" s="133"/>
      <c r="E14" s="132"/>
      <c r="F14" s="132"/>
      <c r="G14" s="134"/>
      <c r="H14" s="135"/>
      <c r="I14" s="135"/>
      <c r="J14" s="132"/>
      <c r="K14" s="135"/>
      <c r="L14" s="135"/>
      <c r="M14" s="132"/>
      <c r="N14" s="132"/>
      <c r="O14" s="132"/>
      <c r="P14" s="132"/>
      <c r="Q14" s="135"/>
      <c r="R14" s="135"/>
      <c r="S14" s="132"/>
      <c r="T14" s="136"/>
    </row>
    <row r="15" spans="1:20" ht="16.8">
      <c r="A15" s="137"/>
      <c r="B15" s="138" t="s">
        <v>38</v>
      </c>
      <c r="C15" s="138"/>
      <c r="D15" s="139"/>
      <c r="E15" s="140">
        <f t="shared" ref="E15:G15" si="6">SUM(E5:E14)</f>
        <v>28100000</v>
      </c>
      <c r="F15" s="140">
        <f t="shared" si="6"/>
        <v>17600000</v>
      </c>
      <c r="G15" s="141">
        <f t="shared" si="6"/>
        <v>8</v>
      </c>
      <c r="H15" s="140"/>
      <c r="I15" s="140"/>
      <c r="J15" s="140"/>
      <c r="K15" s="140">
        <f>SUM(K5:K13)</f>
        <v>4928000</v>
      </c>
      <c r="L15" s="140"/>
      <c r="M15" s="140">
        <f t="shared" ref="M15:P15" si="7">SUM(M5:M14)</f>
        <v>800000</v>
      </c>
      <c r="N15" s="142">
        <f t="shared" si="7"/>
        <v>0</v>
      </c>
      <c r="O15" s="142">
        <f t="shared" si="7"/>
        <v>750000</v>
      </c>
      <c r="P15" s="140">
        <f t="shared" si="7"/>
        <v>850000</v>
      </c>
      <c r="Q15" s="140">
        <f>SUM(Q5:Q13)</f>
        <v>24928000</v>
      </c>
      <c r="R15" s="140">
        <f>SUM(R5:R12)</f>
        <v>0</v>
      </c>
      <c r="S15" s="142">
        <f>SUM(S5:S13)</f>
        <v>24928000</v>
      </c>
      <c r="T15" s="143"/>
    </row>
    <row r="19" spans="1:5" ht="13.8">
      <c r="A19" s="191" t="s">
        <v>39</v>
      </c>
      <c r="B19" s="192"/>
      <c r="C19" s="192"/>
      <c r="D19" s="192"/>
      <c r="E19" s="193"/>
    </row>
    <row r="20" spans="1:5" ht="13.8">
      <c r="A20" s="194"/>
      <c r="B20" s="195"/>
      <c r="C20" s="195"/>
      <c r="D20" s="195"/>
      <c r="E20" s="196"/>
    </row>
    <row r="21" spans="1:5" ht="15.75" customHeight="1">
      <c r="A21" s="197" t="s">
        <v>40</v>
      </c>
      <c r="B21" s="144" t="s">
        <v>41</v>
      </c>
      <c r="C21" s="145" t="s">
        <v>42</v>
      </c>
      <c r="D21" s="145" t="s">
        <v>43</v>
      </c>
      <c r="E21" s="146" t="s">
        <v>44</v>
      </c>
    </row>
    <row r="22" spans="1:5" ht="15.75" customHeight="1">
      <c r="A22" s="198"/>
      <c r="B22" s="147" t="s">
        <v>129</v>
      </c>
      <c r="C22" s="148">
        <f>F15</f>
        <v>17600000</v>
      </c>
      <c r="D22" s="148">
        <v>15000000</v>
      </c>
      <c r="E22" s="149">
        <f t="shared" ref="E22:E27" si="8">C22-D22</f>
        <v>2600000</v>
      </c>
    </row>
    <row r="23" spans="1:5" ht="15.75" customHeight="1">
      <c r="A23" s="198"/>
      <c r="B23" s="150" t="s">
        <v>114</v>
      </c>
      <c r="C23" s="95">
        <f>K15</f>
        <v>4928000</v>
      </c>
      <c r="D23" s="13"/>
      <c r="E23" s="151">
        <f t="shared" si="8"/>
        <v>4928000</v>
      </c>
    </row>
    <row r="24" spans="1:5" ht="15.75" customHeight="1">
      <c r="A24" s="198"/>
      <c r="B24" s="150" t="s">
        <v>116</v>
      </c>
      <c r="C24" s="95">
        <f>M15</f>
        <v>800000</v>
      </c>
      <c r="D24" s="65"/>
      <c r="E24" s="151">
        <f t="shared" si="8"/>
        <v>800000</v>
      </c>
    </row>
    <row r="25" spans="1:5" ht="15.75" customHeight="1">
      <c r="A25" s="198"/>
      <c r="B25" s="150" t="s">
        <v>55</v>
      </c>
      <c r="C25" s="95">
        <f>P15</f>
        <v>850000</v>
      </c>
      <c r="D25" s="65"/>
      <c r="E25" s="151">
        <f t="shared" si="8"/>
        <v>850000</v>
      </c>
    </row>
    <row r="26" spans="1:5" ht="15.75" customHeight="1">
      <c r="A26" s="198"/>
      <c r="B26" s="150" t="s">
        <v>130</v>
      </c>
      <c r="C26" s="95">
        <f>N17</f>
        <v>0</v>
      </c>
      <c r="D26" s="95"/>
      <c r="E26" s="151">
        <f t="shared" si="8"/>
        <v>0</v>
      </c>
    </row>
    <row r="27" spans="1:5" ht="15.75" customHeight="1">
      <c r="A27" s="187"/>
      <c r="B27" s="152" t="s">
        <v>52</v>
      </c>
      <c r="C27" s="153">
        <f>O15</f>
        <v>750000</v>
      </c>
      <c r="D27" s="154"/>
      <c r="E27" s="155">
        <f t="shared" si="8"/>
        <v>750000</v>
      </c>
    </row>
    <row r="28" spans="1:5" ht="15.75" customHeight="1">
      <c r="A28" s="156"/>
      <c r="B28" s="157" t="s">
        <v>57</v>
      </c>
      <c r="C28" s="158">
        <f>SUM(C22:C27)</f>
        <v>24928000</v>
      </c>
      <c r="D28" s="110"/>
      <c r="E28" s="159"/>
    </row>
    <row r="29" spans="1:5" ht="15.75" customHeight="1">
      <c r="A29" s="156"/>
      <c r="B29" s="110"/>
      <c r="C29" s="110"/>
      <c r="D29" s="199" t="s">
        <v>131</v>
      </c>
      <c r="E29" s="200">
        <f>E22+E23+E24+E25+E26+E27</f>
        <v>9928000</v>
      </c>
    </row>
    <row r="30" spans="1:5" ht="15.75" customHeight="1">
      <c r="A30" s="156"/>
      <c r="B30" s="110"/>
      <c r="C30" s="110"/>
      <c r="D30" s="187"/>
      <c r="E30" s="187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34.8984375" customWidth="1"/>
    <col min="21" max="26" width="7.59765625" customWidth="1"/>
  </cols>
  <sheetData>
    <row r="1" spans="1:20" ht="13.8">
      <c r="A1" s="204" t="s">
        <v>118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3.8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</row>
    <row r="3" spans="1:20" ht="13.8">
      <c r="A3" s="186" t="s">
        <v>1</v>
      </c>
      <c r="B3" s="186" t="s">
        <v>2</v>
      </c>
      <c r="C3" s="186" t="s">
        <v>3</v>
      </c>
      <c r="D3" s="186" t="s">
        <v>68</v>
      </c>
      <c r="E3" s="186" t="s">
        <v>5</v>
      </c>
      <c r="F3" s="186" t="s">
        <v>6</v>
      </c>
      <c r="G3" s="186" t="s">
        <v>7</v>
      </c>
      <c r="H3" s="188" t="s">
        <v>8</v>
      </c>
      <c r="I3" s="189"/>
      <c r="J3" s="189"/>
      <c r="K3" s="190"/>
      <c r="L3" s="188" t="s">
        <v>9</v>
      </c>
      <c r="M3" s="201"/>
      <c r="N3" s="202" t="s">
        <v>10</v>
      </c>
      <c r="O3" s="186" t="s">
        <v>11</v>
      </c>
      <c r="P3" s="186" t="s">
        <v>12</v>
      </c>
      <c r="Q3" s="186" t="s">
        <v>13</v>
      </c>
      <c r="R3" s="186" t="s">
        <v>14</v>
      </c>
      <c r="S3" s="186" t="s">
        <v>15</v>
      </c>
      <c r="T3" s="186" t="s">
        <v>17</v>
      </c>
    </row>
    <row r="4" spans="1:20" ht="13.8">
      <c r="A4" s="187"/>
      <c r="B4" s="187"/>
      <c r="C4" s="187"/>
      <c r="D4" s="187"/>
      <c r="E4" s="187"/>
      <c r="F4" s="187"/>
      <c r="G4" s="187"/>
      <c r="H4" s="116" t="s">
        <v>18</v>
      </c>
      <c r="I4" s="116" t="s">
        <v>19</v>
      </c>
      <c r="J4" s="116" t="s">
        <v>20</v>
      </c>
      <c r="K4" s="117" t="s">
        <v>21</v>
      </c>
      <c r="L4" s="116" t="s">
        <v>22</v>
      </c>
      <c r="M4" s="118" t="s">
        <v>21</v>
      </c>
      <c r="N4" s="203"/>
      <c r="O4" s="187"/>
      <c r="P4" s="187"/>
      <c r="Q4" s="187"/>
      <c r="R4" s="187"/>
      <c r="S4" s="187"/>
      <c r="T4" s="187"/>
    </row>
    <row r="5" spans="1:20" ht="13.8">
      <c r="A5" s="119" t="s">
        <v>23</v>
      </c>
      <c r="B5" s="120"/>
      <c r="C5" s="121"/>
      <c r="D5" s="122"/>
      <c r="E5" s="123">
        <v>3500000</v>
      </c>
      <c r="F5" s="123"/>
      <c r="G5" s="124"/>
      <c r="H5" s="123">
        <v>179</v>
      </c>
      <c r="I5" s="123"/>
      <c r="J5" s="123">
        <v>4000</v>
      </c>
      <c r="K5" s="123">
        <f t="shared" ref="K5:K13" si="0">(I5-H5)*J5</f>
        <v>-716000</v>
      </c>
      <c r="L5" s="123">
        <v>100000</v>
      </c>
      <c r="M5" s="123">
        <f t="shared" ref="M5:M10" si="1">L5*G5</f>
        <v>0</v>
      </c>
      <c r="N5" s="123"/>
      <c r="O5" s="123"/>
      <c r="P5" s="123"/>
      <c r="Q5" s="123">
        <f>F5+K5+M5+O5+P5</f>
        <v>-716000</v>
      </c>
      <c r="R5" s="125"/>
      <c r="S5" s="130">
        <f t="shared" ref="S5:S13" si="2">Q5-R5</f>
        <v>-716000</v>
      </c>
      <c r="T5" s="127"/>
    </row>
    <row r="6" spans="1:20" ht="13.8">
      <c r="A6" s="128" t="s">
        <v>24</v>
      </c>
      <c r="B6" s="95" t="s">
        <v>25</v>
      </c>
      <c r="C6" s="96" t="s">
        <v>92</v>
      </c>
      <c r="D6" s="29" t="s">
        <v>26</v>
      </c>
      <c r="E6" s="23">
        <v>4000000</v>
      </c>
      <c r="F6" s="23">
        <v>3500000</v>
      </c>
      <c r="G6" s="30">
        <v>1</v>
      </c>
      <c r="H6" s="123">
        <v>2167</v>
      </c>
      <c r="I6" s="123">
        <v>2404</v>
      </c>
      <c r="J6" s="23">
        <v>4000</v>
      </c>
      <c r="K6" s="121">
        <f t="shared" si="0"/>
        <v>948000</v>
      </c>
      <c r="L6" s="123">
        <v>100000</v>
      </c>
      <c r="M6" s="123">
        <f t="shared" si="1"/>
        <v>100000</v>
      </c>
      <c r="N6" s="13"/>
      <c r="O6" s="23">
        <v>100000</v>
      </c>
      <c r="P6" s="23">
        <v>200000</v>
      </c>
      <c r="Q6" s="123">
        <f t="shared" ref="Q6:Q7" si="3">F6+K6+M6+P6+O6</f>
        <v>4848000</v>
      </c>
      <c r="R6" s="23"/>
      <c r="S6" s="126">
        <f t="shared" si="2"/>
        <v>4848000</v>
      </c>
      <c r="T6" s="129"/>
    </row>
    <row r="7" spans="1:20" ht="13.8">
      <c r="A7" s="128">
        <v>101</v>
      </c>
      <c r="B7" s="95" t="s">
        <v>28</v>
      </c>
      <c r="C7" s="121" t="s">
        <v>94</v>
      </c>
      <c r="D7" s="29" t="s">
        <v>29</v>
      </c>
      <c r="E7" s="13">
        <v>4800000</v>
      </c>
      <c r="F7" s="13">
        <v>4300000</v>
      </c>
      <c r="G7" s="30">
        <v>3</v>
      </c>
      <c r="H7" s="123">
        <v>569</v>
      </c>
      <c r="I7" s="123">
        <v>569</v>
      </c>
      <c r="J7" s="13">
        <v>4000</v>
      </c>
      <c r="K7" s="121">
        <f t="shared" si="0"/>
        <v>0</v>
      </c>
      <c r="L7" s="123">
        <v>100000</v>
      </c>
      <c r="M7" s="123">
        <f t="shared" si="1"/>
        <v>300000</v>
      </c>
      <c r="N7" s="13"/>
      <c r="O7" s="13">
        <v>100000</v>
      </c>
      <c r="P7" s="13">
        <v>200000</v>
      </c>
      <c r="Q7" s="123">
        <f t="shared" si="3"/>
        <v>4900000</v>
      </c>
      <c r="R7" s="23"/>
      <c r="S7" s="126">
        <f t="shared" si="2"/>
        <v>4900000</v>
      </c>
      <c r="T7" s="129"/>
    </row>
    <row r="8" spans="1:20" ht="13.8">
      <c r="A8" s="128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23">
        <v>2155</v>
      </c>
      <c r="I8" s="123">
        <v>2596</v>
      </c>
      <c r="J8" s="13">
        <v>4000</v>
      </c>
      <c r="K8" s="121">
        <f t="shared" si="0"/>
        <v>1764000</v>
      </c>
      <c r="L8" s="123">
        <v>100000</v>
      </c>
      <c r="M8" s="123">
        <f t="shared" si="1"/>
        <v>200000</v>
      </c>
      <c r="N8" s="13"/>
      <c r="O8" s="13"/>
      <c r="P8" s="13">
        <v>200000</v>
      </c>
      <c r="Q8" s="123">
        <f>F8+K8+M8+O8+P8</f>
        <v>6264000</v>
      </c>
      <c r="R8" s="23"/>
      <c r="S8" s="126">
        <f t="shared" si="2"/>
        <v>6264000</v>
      </c>
      <c r="T8" s="129"/>
    </row>
    <row r="9" spans="1:20" ht="13.8">
      <c r="A9" s="128">
        <v>201</v>
      </c>
      <c r="B9" s="95" t="s">
        <v>127</v>
      </c>
      <c r="C9" s="94" t="s">
        <v>128</v>
      </c>
      <c r="D9" s="29" t="s">
        <v>32</v>
      </c>
      <c r="E9" s="13">
        <v>5400000</v>
      </c>
      <c r="F9" s="13">
        <v>2940000</v>
      </c>
      <c r="G9" s="30"/>
      <c r="H9" s="123">
        <v>2118</v>
      </c>
      <c r="I9" s="123">
        <v>2373</v>
      </c>
      <c r="J9" s="13">
        <v>4000</v>
      </c>
      <c r="K9" s="121">
        <f t="shared" si="0"/>
        <v>1020000</v>
      </c>
      <c r="L9" s="123">
        <v>100000</v>
      </c>
      <c r="M9" s="123">
        <f t="shared" si="1"/>
        <v>0</v>
      </c>
      <c r="N9" s="13"/>
      <c r="O9" s="13"/>
      <c r="P9" s="13"/>
      <c r="Q9" s="123">
        <f t="shared" ref="Q9:Q10" si="4">F9+K9+M9+P9+O9</f>
        <v>3960000</v>
      </c>
      <c r="R9" s="23"/>
      <c r="S9" s="130">
        <f t="shared" si="2"/>
        <v>3960000</v>
      </c>
      <c r="T9" s="129" t="s">
        <v>138</v>
      </c>
    </row>
    <row r="10" spans="1:20" ht="13.8">
      <c r="A10" s="128">
        <v>202</v>
      </c>
      <c r="B10" s="95" t="s">
        <v>108</v>
      </c>
      <c r="C10" s="94" t="s">
        <v>109</v>
      </c>
      <c r="D10" s="29" t="s">
        <v>32</v>
      </c>
      <c r="E10" s="13">
        <v>5300000</v>
      </c>
      <c r="F10" s="13">
        <v>4800000</v>
      </c>
      <c r="G10" s="30">
        <v>3</v>
      </c>
      <c r="H10" s="123">
        <v>745</v>
      </c>
      <c r="I10" s="123">
        <v>893</v>
      </c>
      <c r="J10" s="13">
        <v>4000</v>
      </c>
      <c r="K10" s="121">
        <f t="shared" si="0"/>
        <v>592000</v>
      </c>
      <c r="L10" s="123">
        <v>100000</v>
      </c>
      <c r="M10" s="123">
        <f t="shared" si="1"/>
        <v>300000</v>
      </c>
      <c r="N10" s="13"/>
      <c r="O10" s="13">
        <v>350000</v>
      </c>
      <c r="P10" s="13">
        <v>250000</v>
      </c>
      <c r="Q10" s="123">
        <f t="shared" si="4"/>
        <v>6292000</v>
      </c>
      <c r="R10" s="23"/>
      <c r="S10" s="126">
        <f t="shared" si="2"/>
        <v>6292000</v>
      </c>
      <c r="T10" s="129"/>
    </row>
    <row r="11" spans="1:20" ht="13.8">
      <c r="A11" s="128"/>
      <c r="B11" s="95"/>
      <c r="C11" s="94"/>
      <c r="D11" s="29"/>
      <c r="E11" s="13"/>
      <c r="F11" s="13"/>
      <c r="G11" s="30"/>
      <c r="H11" s="123"/>
      <c r="I11" s="123"/>
      <c r="J11" s="13"/>
      <c r="K11" s="121">
        <f t="shared" si="0"/>
        <v>0</v>
      </c>
      <c r="L11" s="123"/>
      <c r="M11" s="123"/>
      <c r="N11" s="13"/>
      <c r="O11" s="13"/>
      <c r="P11" s="13"/>
      <c r="Q11" s="123">
        <f t="shared" ref="Q11:Q12" si="5">F11+K11+M11+O11+P11</f>
        <v>0</v>
      </c>
      <c r="R11" s="23"/>
      <c r="S11" s="130">
        <f t="shared" si="2"/>
        <v>0</v>
      </c>
      <c r="T11" s="129"/>
    </row>
    <row r="12" spans="1:20" ht="13.8">
      <c r="A12" s="128"/>
      <c r="B12" s="13"/>
      <c r="C12" s="94"/>
      <c r="D12" s="29"/>
      <c r="E12" s="13"/>
      <c r="F12" s="13"/>
      <c r="G12" s="30"/>
      <c r="H12" s="123"/>
      <c r="I12" s="123"/>
      <c r="J12" s="13"/>
      <c r="K12" s="121">
        <f t="shared" si="0"/>
        <v>0</v>
      </c>
      <c r="L12" s="123"/>
      <c r="M12" s="123"/>
      <c r="N12" s="13"/>
      <c r="O12" s="13"/>
      <c r="P12" s="13"/>
      <c r="Q12" s="123">
        <f t="shared" si="5"/>
        <v>0</v>
      </c>
      <c r="R12" s="23"/>
      <c r="S12" s="130">
        <f t="shared" si="2"/>
        <v>0</v>
      </c>
      <c r="T12" s="129"/>
    </row>
    <row r="13" spans="1:20" ht="13.8">
      <c r="A13" s="128"/>
      <c r="B13" s="13"/>
      <c r="C13" s="94"/>
      <c r="D13" s="29"/>
      <c r="E13" s="13"/>
      <c r="F13" s="13"/>
      <c r="G13" s="30"/>
      <c r="H13" s="123"/>
      <c r="I13" s="123"/>
      <c r="J13" s="13"/>
      <c r="K13" s="121">
        <f t="shared" si="0"/>
        <v>0</v>
      </c>
      <c r="L13" s="123"/>
      <c r="M13" s="123"/>
      <c r="N13" s="13"/>
      <c r="O13" s="13"/>
      <c r="P13" s="13"/>
      <c r="Q13" s="123">
        <f>K13+M13+O13+P13+F13</f>
        <v>0</v>
      </c>
      <c r="R13" s="23"/>
      <c r="S13" s="130">
        <f t="shared" si="2"/>
        <v>0</v>
      </c>
      <c r="T13" s="129"/>
    </row>
    <row r="14" spans="1:20" ht="13.8">
      <c r="A14" s="131"/>
      <c r="B14" s="132"/>
      <c r="C14" s="132"/>
      <c r="D14" s="133"/>
      <c r="E14" s="132"/>
      <c r="F14" s="132"/>
      <c r="G14" s="134"/>
      <c r="H14" s="135"/>
      <c r="I14" s="135"/>
      <c r="J14" s="132"/>
      <c r="K14" s="135"/>
      <c r="L14" s="135"/>
      <c r="M14" s="132"/>
      <c r="N14" s="132"/>
      <c r="O14" s="132"/>
      <c r="P14" s="132"/>
      <c r="Q14" s="135"/>
      <c r="R14" s="135"/>
      <c r="S14" s="132"/>
      <c r="T14" s="136"/>
    </row>
    <row r="15" spans="1:20" ht="16.8">
      <c r="A15" s="137"/>
      <c r="B15" s="138" t="s">
        <v>38</v>
      </c>
      <c r="C15" s="138"/>
      <c r="D15" s="139"/>
      <c r="E15" s="140">
        <f t="shared" ref="E15:G15" si="6">SUM(E5:E14)</f>
        <v>27600000</v>
      </c>
      <c r="F15" s="140">
        <f t="shared" si="6"/>
        <v>19640000</v>
      </c>
      <c r="G15" s="141">
        <f t="shared" si="6"/>
        <v>9</v>
      </c>
      <c r="H15" s="140"/>
      <c r="I15" s="140"/>
      <c r="J15" s="140"/>
      <c r="K15" s="140">
        <f>SUM(K5:K13)</f>
        <v>3608000</v>
      </c>
      <c r="L15" s="140"/>
      <c r="M15" s="140">
        <f t="shared" ref="M15:P15" si="7">SUM(M5:M14)</f>
        <v>900000</v>
      </c>
      <c r="N15" s="142">
        <f t="shared" si="7"/>
        <v>0</v>
      </c>
      <c r="O15" s="142">
        <f t="shared" si="7"/>
        <v>550000</v>
      </c>
      <c r="P15" s="140">
        <f t="shared" si="7"/>
        <v>850000</v>
      </c>
      <c r="Q15" s="140">
        <f>SUM(Q5:Q13)</f>
        <v>25548000</v>
      </c>
      <c r="R15" s="140">
        <f>SUM(R5:R12)</f>
        <v>0</v>
      </c>
      <c r="S15" s="142">
        <f>SUM(S5:S13)</f>
        <v>25548000</v>
      </c>
      <c r="T15" s="143"/>
    </row>
    <row r="19" spans="1:5" ht="13.8">
      <c r="A19" s="191" t="s">
        <v>39</v>
      </c>
      <c r="B19" s="192"/>
      <c r="C19" s="192"/>
      <c r="D19" s="192"/>
      <c r="E19" s="193"/>
    </row>
    <row r="20" spans="1:5" ht="13.8">
      <c r="A20" s="194"/>
      <c r="B20" s="195"/>
      <c r="C20" s="195"/>
      <c r="D20" s="195"/>
      <c r="E20" s="196"/>
    </row>
    <row r="21" spans="1:5" ht="15.75" customHeight="1">
      <c r="A21" s="197" t="s">
        <v>40</v>
      </c>
      <c r="B21" s="144" t="s">
        <v>41</v>
      </c>
      <c r="C21" s="145" t="s">
        <v>42</v>
      </c>
      <c r="D21" s="145" t="s">
        <v>43</v>
      </c>
      <c r="E21" s="146" t="s">
        <v>44</v>
      </c>
    </row>
    <row r="22" spans="1:5" ht="15.75" customHeight="1">
      <c r="A22" s="198"/>
      <c r="B22" s="147" t="s">
        <v>129</v>
      </c>
      <c r="C22" s="148">
        <f>F15</f>
        <v>19640000</v>
      </c>
      <c r="D22" s="148">
        <v>15000000</v>
      </c>
      <c r="E22" s="149">
        <f t="shared" ref="E22:E27" si="8">C22-D22</f>
        <v>4640000</v>
      </c>
    </row>
    <row r="23" spans="1:5" ht="15.75" customHeight="1">
      <c r="A23" s="198"/>
      <c r="B23" s="150" t="s">
        <v>114</v>
      </c>
      <c r="C23" s="95">
        <f>K15</f>
        <v>3608000</v>
      </c>
      <c r="D23" s="13"/>
      <c r="E23" s="151">
        <f t="shared" si="8"/>
        <v>3608000</v>
      </c>
    </row>
    <row r="24" spans="1:5" ht="15.75" customHeight="1">
      <c r="A24" s="198"/>
      <c r="B24" s="150" t="s">
        <v>116</v>
      </c>
      <c r="C24" s="95">
        <f>M15</f>
        <v>900000</v>
      </c>
      <c r="D24" s="65"/>
      <c r="E24" s="151">
        <f t="shared" si="8"/>
        <v>900000</v>
      </c>
    </row>
    <row r="25" spans="1:5" ht="15.75" customHeight="1">
      <c r="A25" s="198"/>
      <c r="B25" s="150" t="s">
        <v>55</v>
      </c>
      <c r="C25" s="95">
        <f>P15</f>
        <v>850000</v>
      </c>
      <c r="D25" s="65"/>
      <c r="E25" s="151">
        <f t="shared" si="8"/>
        <v>850000</v>
      </c>
    </row>
    <row r="26" spans="1:5" ht="15.75" customHeight="1">
      <c r="A26" s="198"/>
      <c r="B26" s="150" t="s">
        <v>130</v>
      </c>
      <c r="C26" s="95">
        <f>N17</f>
        <v>0</v>
      </c>
      <c r="D26" s="95"/>
      <c r="E26" s="151">
        <f t="shared" si="8"/>
        <v>0</v>
      </c>
    </row>
    <row r="27" spans="1:5" ht="15.75" customHeight="1">
      <c r="A27" s="187"/>
      <c r="B27" s="152" t="s">
        <v>52</v>
      </c>
      <c r="C27" s="153">
        <f>O15</f>
        <v>550000</v>
      </c>
      <c r="D27" s="154"/>
      <c r="E27" s="155">
        <f t="shared" si="8"/>
        <v>550000</v>
      </c>
    </row>
    <row r="28" spans="1:5" ht="15.75" customHeight="1">
      <c r="A28" s="156"/>
      <c r="B28" s="157" t="s">
        <v>57</v>
      </c>
      <c r="C28" s="158">
        <f>SUM(C22:C27)</f>
        <v>25548000</v>
      </c>
      <c r="D28" s="110"/>
      <c r="E28" s="159"/>
    </row>
    <row r="29" spans="1:5" ht="15.75" customHeight="1">
      <c r="A29" s="156"/>
      <c r="B29" s="110"/>
      <c r="C29" s="110"/>
      <c r="D29" s="199" t="s">
        <v>131</v>
      </c>
      <c r="E29" s="200">
        <f>E22+E23+E24+E25+E26+E27</f>
        <v>10548000</v>
      </c>
    </row>
    <row r="30" spans="1:5" ht="15.75" customHeight="1">
      <c r="A30" s="156"/>
      <c r="B30" s="110"/>
      <c r="C30" s="110"/>
      <c r="D30" s="187"/>
      <c r="E30" s="187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34.8984375" customWidth="1"/>
    <col min="21" max="26" width="7.59765625" customWidth="1"/>
  </cols>
  <sheetData>
    <row r="1" spans="1:20" ht="13.8">
      <c r="A1" s="204" t="s">
        <v>118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3.8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</row>
    <row r="3" spans="1:20" ht="13.8">
      <c r="A3" s="186" t="s">
        <v>1</v>
      </c>
      <c r="B3" s="186" t="s">
        <v>2</v>
      </c>
      <c r="C3" s="186" t="s">
        <v>3</v>
      </c>
      <c r="D3" s="186" t="s">
        <v>68</v>
      </c>
      <c r="E3" s="186" t="s">
        <v>5</v>
      </c>
      <c r="F3" s="186" t="s">
        <v>6</v>
      </c>
      <c r="G3" s="186" t="s">
        <v>7</v>
      </c>
      <c r="H3" s="188" t="s">
        <v>8</v>
      </c>
      <c r="I3" s="189"/>
      <c r="J3" s="189"/>
      <c r="K3" s="190"/>
      <c r="L3" s="188" t="s">
        <v>9</v>
      </c>
      <c r="M3" s="201"/>
      <c r="N3" s="202" t="s">
        <v>10</v>
      </c>
      <c r="O3" s="186" t="s">
        <v>11</v>
      </c>
      <c r="P3" s="186" t="s">
        <v>12</v>
      </c>
      <c r="Q3" s="186" t="s">
        <v>13</v>
      </c>
      <c r="R3" s="186" t="s">
        <v>14</v>
      </c>
      <c r="S3" s="186" t="s">
        <v>15</v>
      </c>
      <c r="T3" s="186" t="s">
        <v>17</v>
      </c>
    </row>
    <row r="4" spans="1:20" ht="13.8">
      <c r="A4" s="187"/>
      <c r="B4" s="187"/>
      <c r="C4" s="187"/>
      <c r="D4" s="187"/>
      <c r="E4" s="187"/>
      <c r="F4" s="187"/>
      <c r="G4" s="187"/>
      <c r="H4" s="116" t="s">
        <v>18</v>
      </c>
      <c r="I4" s="116" t="s">
        <v>19</v>
      </c>
      <c r="J4" s="116" t="s">
        <v>20</v>
      </c>
      <c r="K4" s="117" t="s">
        <v>21</v>
      </c>
      <c r="L4" s="116" t="s">
        <v>22</v>
      </c>
      <c r="M4" s="118" t="s">
        <v>21</v>
      </c>
      <c r="N4" s="203"/>
      <c r="O4" s="187"/>
      <c r="P4" s="187"/>
      <c r="Q4" s="187"/>
      <c r="R4" s="187"/>
      <c r="S4" s="187"/>
      <c r="T4" s="187"/>
    </row>
    <row r="5" spans="1:20" ht="13.8">
      <c r="A5" s="119" t="s">
        <v>23</v>
      </c>
      <c r="B5" s="120"/>
      <c r="C5" s="121"/>
      <c r="D5" s="122"/>
      <c r="E5" s="123">
        <v>3500000</v>
      </c>
      <c r="F5" s="123"/>
      <c r="G5" s="124"/>
      <c r="H5" s="123"/>
      <c r="I5" s="123"/>
      <c r="J5" s="123">
        <v>4000</v>
      </c>
      <c r="K5" s="123">
        <f t="shared" ref="K5:K13" si="0">(I5-H5)*J5</f>
        <v>0</v>
      </c>
      <c r="L5" s="123">
        <v>100000</v>
      </c>
      <c r="M5" s="123">
        <f t="shared" ref="M5:M10" si="1">L5*G5</f>
        <v>0</v>
      </c>
      <c r="N5" s="123"/>
      <c r="O5" s="123"/>
      <c r="P5" s="123"/>
      <c r="Q5" s="123">
        <f>F5+K5+M5+O5+P5</f>
        <v>0</v>
      </c>
      <c r="R5" s="125"/>
      <c r="S5" s="130">
        <f t="shared" ref="S5:S13" si="2">Q5-R5</f>
        <v>0</v>
      </c>
      <c r="T5" s="127"/>
    </row>
    <row r="6" spans="1:20" ht="13.8">
      <c r="A6" s="128" t="s">
        <v>24</v>
      </c>
      <c r="B6" s="95" t="s">
        <v>25</v>
      </c>
      <c r="C6" s="96" t="s">
        <v>92</v>
      </c>
      <c r="D6" s="29" t="s">
        <v>26</v>
      </c>
      <c r="E6" s="23">
        <v>4000000</v>
      </c>
      <c r="F6" s="23">
        <v>3500000</v>
      </c>
      <c r="G6" s="30">
        <v>1</v>
      </c>
      <c r="H6" s="123">
        <v>2404</v>
      </c>
      <c r="I6" s="123">
        <v>2736</v>
      </c>
      <c r="J6" s="23">
        <v>4000</v>
      </c>
      <c r="K6" s="121">
        <f t="shared" si="0"/>
        <v>1328000</v>
      </c>
      <c r="L6" s="123">
        <v>100000</v>
      </c>
      <c r="M6" s="123">
        <f t="shared" si="1"/>
        <v>100000</v>
      </c>
      <c r="N6" s="13"/>
      <c r="O6" s="23">
        <v>100000</v>
      </c>
      <c r="P6" s="23">
        <v>200000</v>
      </c>
      <c r="Q6" s="123">
        <f t="shared" ref="Q6:Q7" si="3">F6+K6+M6+P6+O6</f>
        <v>5228000</v>
      </c>
      <c r="R6" s="23"/>
      <c r="S6" s="126">
        <f t="shared" si="2"/>
        <v>5228000</v>
      </c>
      <c r="T6" s="129"/>
    </row>
    <row r="7" spans="1:20" ht="13.8">
      <c r="A7" s="128">
        <v>101</v>
      </c>
      <c r="B7" s="95" t="s">
        <v>28</v>
      </c>
      <c r="C7" s="121" t="s">
        <v>94</v>
      </c>
      <c r="D7" s="29" t="s">
        <v>29</v>
      </c>
      <c r="E7" s="13">
        <v>4800000</v>
      </c>
      <c r="F7" s="13">
        <v>4300000</v>
      </c>
      <c r="G7" s="30">
        <v>3</v>
      </c>
      <c r="H7" s="123">
        <v>569</v>
      </c>
      <c r="I7" s="123">
        <v>789</v>
      </c>
      <c r="J7" s="13">
        <v>4000</v>
      </c>
      <c r="K7" s="121">
        <f t="shared" si="0"/>
        <v>880000</v>
      </c>
      <c r="L7" s="123">
        <v>100000</v>
      </c>
      <c r="M7" s="123">
        <f t="shared" si="1"/>
        <v>300000</v>
      </c>
      <c r="N7" s="13"/>
      <c r="O7" s="13">
        <v>100000</v>
      </c>
      <c r="P7" s="13">
        <v>200000</v>
      </c>
      <c r="Q7" s="123">
        <f t="shared" si="3"/>
        <v>5780000</v>
      </c>
      <c r="R7" s="23"/>
      <c r="S7" s="126">
        <f t="shared" si="2"/>
        <v>5780000</v>
      </c>
      <c r="T7" s="129"/>
    </row>
    <row r="8" spans="1:20" ht="13.8">
      <c r="A8" s="128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23">
        <v>2596</v>
      </c>
      <c r="I8" s="123">
        <v>3061</v>
      </c>
      <c r="J8" s="13">
        <v>4000</v>
      </c>
      <c r="K8" s="121">
        <f t="shared" si="0"/>
        <v>1860000</v>
      </c>
      <c r="L8" s="123">
        <v>100000</v>
      </c>
      <c r="M8" s="123">
        <f t="shared" si="1"/>
        <v>200000</v>
      </c>
      <c r="N8" s="13"/>
      <c r="O8" s="13"/>
      <c r="P8" s="13">
        <v>200000</v>
      </c>
      <c r="Q8" s="123">
        <f>F8+K8+M8+O8+P8</f>
        <v>6360000</v>
      </c>
      <c r="R8" s="23"/>
      <c r="S8" s="126">
        <f t="shared" si="2"/>
        <v>6360000</v>
      </c>
      <c r="T8" s="129"/>
    </row>
    <row r="9" spans="1:20" ht="13.8">
      <c r="A9" s="128">
        <v>201</v>
      </c>
      <c r="B9" s="95" t="s">
        <v>34</v>
      </c>
      <c r="C9" s="94" t="s">
        <v>98</v>
      </c>
      <c r="D9" s="29" t="s">
        <v>35</v>
      </c>
      <c r="E9" s="13">
        <v>5100000</v>
      </c>
      <c r="F9" s="13">
        <v>4600000</v>
      </c>
      <c r="G9" s="30">
        <v>2</v>
      </c>
      <c r="H9" s="123">
        <v>2387</v>
      </c>
      <c r="I9" s="123">
        <v>2387</v>
      </c>
      <c r="J9" s="13">
        <v>4000</v>
      </c>
      <c r="K9" s="121">
        <f t="shared" si="0"/>
        <v>0</v>
      </c>
      <c r="L9" s="123">
        <v>100000</v>
      </c>
      <c r="M9" s="123">
        <f t="shared" si="1"/>
        <v>200000</v>
      </c>
      <c r="N9" s="13"/>
      <c r="O9" s="13">
        <v>100000</v>
      </c>
      <c r="P9" s="13">
        <v>200000</v>
      </c>
      <c r="Q9" s="123">
        <f t="shared" ref="Q9:Q10" si="4">F9+K9+M9+P9+O9</f>
        <v>5100000</v>
      </c>
      <c r="R9" s="23"/>
      <c r="S9" s="126">
        <f t="shared" si="2"/>
        <v>5100000</v>
      </c>
      <c r="T9" s="129"/>
    </row>
    <row r="10" spans="1:20" ht="13.8">
      <c r="A10" s="128">
        <v>202</v>
      </c>
      <c r="B10" s="95" t="s">
        <v>108</v>
      </c>
      <c r="C10" s="94" t="s">
        <v>109</v>
      </c>
      <c r="D10" s="29" t="s">
        <v>32</v>
      </c>
      <c r="E10" s="13">
        <v>5300000</v>
      </c>
      <c r="F10" s="13">
        <v>4800000</v>
      </c>
      <c r="G10" s="30">
        <v>2</v>
      </c>
      <c r="H10" s="123">
        <v>893</v>
      </c>
      <c r="I10" s="123">
        <v>1088</v>
      </c>
      <c r="J10" s="13">
        <v>4000</v>
      </c>
      <c r="K10" s="121">
        <f t="shared" si="0"/>
        <v>780000</v>
      </c>
      <c r="L10" s="123">
        <v>100000</v>
      </c>
      <c r="M10" s="123">
        <f t="shared" si="1"/>
        <v>200000</v>
      </c>
      <c r="N10" s="13"/>
      <c r="O10" s="13">
        <v>200000</v>
      </c>
      <c r="P10" s="13">
        <v>200000</v>
      </c>
      <c r="Q10" s="123">
        <f t="shared" si="4"/>
        <v>6180000</v>
      </c>
      <c r="R10" s="23"/>
      <c r="S10" s="126">
        <f t="shared" si="2"/>
        <v>6180000</v>
      </c>
      <c r="T10" s="129"/>
    </row>
    <row r="11" spans="1:20" ht="13.8">
      <c r="A11" s="128"/>
      <c r="B11" s="95"/>
      <c r="C11" s="94"/>
      <c r="D11" s="29"/>
      <c r="E11" s="13"/>
      <c r="F11" s="13"/>
      <c r="G11" s="30"/>
      <c r="H11" s="123"/>
      <c r="I11" s="123"/>
      <c r="J11" s="13"/>
      <c r="K11" s="121">
        <f t="shared" si="0"/>
        <v>0</v>
      </c>
      <c r="L11" s="123"/>
      <c r="M11" s="123"/>
      <c r="N11" s="13"/>
      <c r="O11" s="13"/>
      <c r="P11" s="13"/>
      <c r="Q11" s="123">
        <f t="shared" ref="Q11:Q12" si="5">F11+K11+M11+O11+P11</f>
        <v>0</v>
      </c>
      <c r="R11" s="23"/>
      <c r="S11" s="130">
        <f t="shared" si="2"/>
        <v>0</v>
      </c>
      <c r="T11" s="129"/>
    </row>
    <row r="12" spans="1:20" ht="13.8">
      <c r="A12" s="128"/>
      <c r="B12" s="13"/>
      <c r="C12" s="94"/>
      <c r="D12" s="29"/>
      <c r="E12" s="13"/>
      <c r="F12" s="13"/>
      <c r="G12" s="30"/>
      <c r="H12" s="123"/>
      <c r="I12" s="123"/>
      <c r="J12" s="13"/>
      <c r="K12" s="121">
        <f t="shared" si="0"/>
        <v>0</v>
      </c>
      <c r="L12" s="123"/>
      <c r="M12" s="123"/>
      <c r="N12" s="13"/>
      <c r="O12" s="13"/>
      <c r="P12" s="13"/>
      <c r="Q12" s="123">
        <f t="shared" si="5"/>
        <v>0</v>
      </c>
      <c r="R12" s="23"/>
      <c r="S12" s="130">
        <f t="shared" si="2"/>
        <v>0</v>
      </c>
      <c r="T12" s="129"/>
    </row>
    <row r="13" spans="1:20" ht="13.8">
      <c r="A13" s="128"/>
      <c r="B13" s="13"/>
      <c r="C13" s="94"/>
      <c r="D13" s="29"/>
      <c r="E13" s="13"/>
      <c r="F13" s="13"/>
      <c r="G13" s="30"/>
      <c r="H13" s="123"/>
      <c r="I13" s="123"/>
      <c r="J13" s="13"/>
      <c r="K13" s="121">
        <f t="shared" si="0"/>
        <v>0</v>
      </c>
      <c r="L13" s="123"/>
      <c r="M13" s="123"/>
      <c r="N13" s="13"/>
      <c r="O13" s="13"/>
      <c r="P13" s="13"/>
      <c r="Q13" s="123">
        <f>K13+M13+O13+P13+F13</f>
        <v>0</v>
      </c>
      <c r="R13" s="23"/>
      <c r="S13" s="130">
        <f t="shared" si="2"/>
        <v>0</v>
      </c>
      <c r="T13" s="129"/>
    </row>
    <row r="14" spans="1:20" ht="13.8">
      <c r="A14" s="131"/>
      <c r="B14" s="132"/>
      <c r="C14" s="132"/>
      <c r="D14" s="133"/>
      <c r="E14" s="132"/>
      <c r="F14" s="132"/>
      <c r="G14" s="134"/>
      <c r="H14" s="135"/>
      <c r="I14" s="135"/>
      <c r="J14" s="132"/>
      <c r="K14" s="135"/>
      <c r="L14" s="135"/>
      <c r="M14" s="132"/>
      <c r="N14" s="132"/>
      <c r="O14" s="132"/>
      <c r="P14" s="132"/>
      <c r="Q14" s="135"/>
      <c r="R14" s="135"/>
      <c r="S14" s="132"/>
      <c r="T14" s="136"/>
    </row>
    <row r="15" spans="1:20" ht="16.8">
      <c r="A15" s="137"/>
      <c r="B15" s="138" t="s">
        <v>38</v>
      </c>
      <c r="C15" s="138"/>
      <c r="D15" s="139"/>
      <c r="E15" s="140">
        <f t="shared" ref="E15:G15" si="6">SUM(E5:E14)</f>
        <v>27300000</v>
      </c>
      <c r="F15" s="140">
        <f t="shared" si="6"/>
        <v>21300000</v>
      </c>
      <c r="G15" s="141">
        <f t="shared" si="6"/>
        <v>10</v>
      </c>
      <c r="H15" s="140"/>
      <c r="I15" s="140"/>
      <c r="J15" s="140"/>
      <c r="K15" s="140">
        <f>SUM(K5:K13)</f>
        <v>4848000</v>
      </c>
      <c r="L15" s="140"/>
      <c r="M15" s="140">
        <f t="shared" ref="M15:P15" si="7">SUM(M5:M14)</f>
        <v>1000000</v>
      </c>
      <c r="N15" s="142">
        <f t="shared" si="7"/>
        <v>0</v>
      </c>
      <c r="O15" s="142">
        <f t="shared" si="7"/>
        <v>500000</v>
      </c>
      <c r="P15" s="140">
        <f t="shared" si="7"/>
        <v>1000000</v>
      </c>
      <c r="Q15" s="140">
        <f>SUM(Q5:Q13)</f>
        <v>28648000</v>
      </c>
      <c r="R15" s="140">
        <f>SUM(R5:R12)</f>
        <v>0</v>
      </c>
      <c r="S15" s="142">
        <f>SUM(S5:S13)</f>
        <v>28648000</v>
      </c>
      <c r="T15" s="143"/>
    </row>
    <row r="19" spans="1:5" ht="13.8">
      <c r="A19" s="191" t="s">
        <v>39</v>
      </c>
      <c r="B19" s="192"/>
      <c r="C19" s="192"/>
      <c r="D19" s="192"/>
      <c r="E19" s="193"/>
    </row>
    <row r="20" spans="1:5" ht="13.8">
      <c r="A20" s="194"/>
      <c r="B20" s="195"/>
      <c r="C20" s="195"/>
      <c r="D20" s="195"/>
      <c r="E20" s="196"/>
    </row>
    <row r="21" spans="1:5" ht="15.75" customHeight="1">
      <c r="A21" s="197" t="s">
        <v>40</v>
      </c>
      <c r="B21" s="144" t="s">
        <v>41</v>
      </c>
      <c r="C21" s="145" t="s">
        <v>42</v>
      </c>
      <c r="D21" s="145" t="s">
        <v>43</v>
      </c>
      <c r="E21" s="146" t="s">
        <v>44</v>
      </c>
    </row>
    <row r="22" spans="1:5" ht="15.75" customHeight="1">
      <c r="A22" s="198"/>
      <c r="B22" s="147" t="s">
        <v>129</v>
      </c>
      <c r="C22" s="148">
        <f>F15</f>
        <v>21300000</v>
      </c>
      <c r="D22" s="148">
        <v>15000000</v>
      </c>
      <c r="E22" s="149">
        <f t="shared" ref="E22:E27" si="8">C22-D22</f>
        <v>6300000</v>
      </c>
    </row>
    <row r="23" spans="1:5" ht="15.75" customHeight="1">
      <c r="A23" s="198"/>
      <c r="B23" s="150" t="s">
        <v>114</v>
      </c>
      <c r="C23" s="95">
        <f>K15</f>
        <v>4848000</v>
      </c>
      <c r="D23" s="13"/>
      <c r="E23" s="151">
        <f t="shared" si="8"/>
        <v>4848000</v>
      </c>
    </row>
    <row r="24" spans="1:5" ht="15.75" customHeight="1">
      <c r="A24" s="198"/>
      <c r="B24" s="150" t="s">
        <v>116</v>
      </c>
      <c r="C24" s="95">
        <f>M15</f>
        <v>1000000</v>
      </c>
      <c r="D24" s="65"/>
      <c r="E24" s="151">
        <f t="shared" si="8"/>
        <v>1000000</v>
      </c>
    </row>
    <row r="25" spans="1:5" ht="15.75" customHeight="1">
      <c r="A25" s="198"/>
      <c r="B25" s="150" t="s">
        <v>55</v>
      </c>
      <c r="C25" s="95">
        <f>P15</f>
        <v>1000000</v>
      </c>
      <c r="D25" s="65"/>
      <c r="E25" s="151">
        <f t="shared" si="8"/>
        <v>1000000</v>
      </c>
    </row>
    <row r="26" spans="1:5" ht="15.75" customHeight="1">
      <c r="A26" s="198"/>
      <c r="B26" s="150" t="s">
        <v>130</v>
      </c>
      <c r="C26" s="95">
        <f>N17</f>
        <v>0</v>
      </c>
      <c r="D26" s="95"/>
      <c r="E26" s="151">
        <f t="shared" si="8"/>
        <v>0</v>
      </c>
    </row>
    <row r="27" spans="1:5" ht="15.75" customHeight="1">
      <c r="A27" s="187"/>
      <c r="B27" s="152" t="s">
        <v>52</v>
      </c>
      <c r="C27" s="153">
        <f>O15</f>
        <v>500000</v>
      </c>
      <c r="D27" s="154"/>
      <c r="E27" s="155">
        <f t="shared" si="8"/>
        <v>500000</v>
      </c>
    </row>
    <row r="28" spans="1:5" ht="15.75" customHeight="1">
      <c r="A28" s="156"/>
      <c r="B28" s="157" t="s">
        <v>57</v>
      </c>
      <c r="C28" s="158">
        <f>SUM(C22:C27)</f>
        <v>28648000</v>
      </c>
      <c r="D28" s="110"/>
      <c r="E28" s="159"/>
    </row>
    <row r="29" spans="1:5" ht="15.75" customHeight="1">
      <c r="A29" s="156"/>
      <c r="B29" s="110"/>
      <c r="C29" s="110"/>
      <c r="D29" s="199" t="s">
        <v>131</v>
      </c>
      <c r="E29" s="200">
        <f>E22+E23+E24+E25+E26+E27</f>
        <v>13648000</v>
      </c>
    </row>
    <row r="30" spans="1:5" ht="15.75" customHeight="1">
      <c r="A30" s="156"/>
      <c r="B30" s="110"/>
      <c r="C30" s="110"/>
      <c r="D30" s="187"/>
      <c r="E30" s="187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34.8984375" customWidth="1"/>
    <col min="21" max="26" width="7.59765625" customWidth="1"/>
  </cols>
  <sheetData>
    <row r="1" spans="1:20" ht="13.8">
      <c r="A1" s="204" t="s">
        <v>118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3.8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</row>
    <row r="3" spans="1:20" ht="13.8">
      <c r="A3" s="186" t="s">
        <v>1</v>
      </c>
      <c r="B3" s="186" t="s">
        <v>2</v>
      </c>
      <c r="C3" s="186" t="s">
        <v>3</v>
      </c>
      <c r="D3" s="186" t="s">
        <v>68</v>
      </c>
      <c r="E3" s="186" t="s">
        <v>5</v>
      </c>
      <c r="F3" s="186" t="s">
        <v>6</v>
      </c>
      <c r="G3" s="186" t="s">
        <v>7</v>
      </c>
      <c r="H3" s="188" t="s">
        <v>8</v>
      </c>
      <c r="I3" s="189"/>
      <c r="J3" s="189"/>
      <c r="K3" s="190"/>
      <c r="L3" s="188" t="s">
        <v>9</v>
      </c>
      <c r="M3" s="201"/>
      <c r="N3" s="202" t="s">
        <v>10</v>
      </c>
      <c r="O3" s="186" t="s">
        <v>11</v>
      </c>
      <c r="P3" s="186" t="s">
        <v>12</v>
      </c>
      <c r="Q3" s="186" t="s">
        <v>13</v>
      </c>
      <c r="R3" s="186" t="s">
        <v>14</v>
      </c>
      <c r="S3" s="186" t="s">
        <v>15</v>
      </c>
      <c r="T3" s="186" t="s">
        <v>17</v>
      </c>
    </row>
    <row r="4" spans="1:20" ht="13.8">
      <c r="A4" s="187"/>
      <c r="B4" s="187"/>
      <c r="C4" s="187"/>
      <c r="D4" s="187"/>
      <c r="E4" s="187"/>
      <c r="F4" s="187"/>
      <c r="G4" s="187"/>
      <c r="H4" s="116" t="s">
        <v>18</v>
      </c>
      <c r="I4" s="116" t="s">
        <v>19</v>
      </c>
      <c r="J4" s="116" t="s">
        <v>20</v>
      </c>
      <c r="K4" s="117" t="s">
        <v>21</v>
      </c>
      <c r="L4" s="116" t="s">
        <v>22</v>
      </c>
      <c r="M4" s="118" t="s">
        <v>21</v>
      </c>
      <c r="N4" s="203"/>
      <c r="O4" s="187"/>
      <c r="P4" s="187"/>
      <c r="Q4" s="187"/>
      <c r="R4" s="187"/>
      <c r="S4" s="187"/>
      <c r="T4" s="187"/>
    </row>
    <row r="5" spans="1:20" ht="13.8">
      <c r="A5" s="119" t="s">
        <v>23</v>
      </c>
      <c r="B5" s="120"/>
      <c r="C5" s="121"/>
      <c r="D5" s="122"/>
      <c r="E5" s="123">
        <v>3500000</v>
      </c>
      <c r="F5" s="123"/>
      <c r="G5" s="124"/>
      <c r="H5" s="123"/>
      <c r="I5" s="123"/>
      <c r="J5" s="123">
        <v>4000</v>
      </c>
      <c r="K5" s="123">
        <f t="shared" ref="K5:K13" si="0">(I5-H5)*J5</f>
        <v>0</v>
      </c>
      <c r="L5" s="123">
        <v>100000</v>
      </c>
      <c r="M5" s="123">
        <f t="shared" ref="M5:M10" si="1">L5*G5</f>
        <v>0</v>
      </c>
      <c r="N5" s="123"/>
      <c r="O5" s="123"/>
      <c r="P5" s="123"/>
      <c r="Q5" s="123">
        <f>F5+K5+M5+O5+P5</f>
        <v>0</v>
      </c>
      <c r="R5" s="125"/>
      <c r="S5" s="130">
        <f t="shared" ref="S5:S13" si="2">Q5-R5</f>
        <v>0</v>
      </c>
      <c r="T5" s="127"/>
    </row>
    <row r="6" spans="1:20" ht="13.8">
      <c r="A6" s="128" t="s">
        <v>24</v>
      </c>
      <c r="B6" s="95" t="s">
        <v>25</v>
      </c>
      <c r="C6" s="96" t="s">
        <v>92</v>
      </c>
      <c r="D6" s="29" t="s">
        <v>26</v>
      </c>
      <c r="E6" s="23">
        <v>4000000</v>
      </c>
      <c r="F6" s="23">
        <v>3500000</v>
      </c>
      <c r="G6" s="30">
        <v>1</v>
      </c>
      <c r="H6" s="123">
        <v>2736</v>
      </c>
      <c r="I6" s="123">
        <v>3046</v>
      </c>
      <c r="J6" s="23">
        <v>4000</v>
      </c>
      <c r="K6" s="121">
        <f t="shared" si="0"/>
        <v>1240000</v>
      </c>
      <c r="L6" s="123">
        <v>100000</v>
      </c>
      <c r="M6" s="123">
        <f t="shared" si="1"/>
        <v>100000</v>
      </c>
      <c r="N6" s="13"/>
      <c r="O6" s="23">
        <v>100000</v>
      </c>
      <c r="P6" s="23">
        <v>200000</v>
      </c>
      <c r="Q6" s="123">
        <f t="shared" ref="Q6:Q7" si="3">F6+K6+M6+P6+O6</f>
        <v>5140000</v>
      </c>
      <c r="R6" s="23"/>
      <c r="S6" s="130">
        <f t="shared" si="2"/>
        <v>5140000</v>
      </c>
      <c r="T6" s="129"/>
    </row>
    <row r="7" spans="1:20" ht="13.8">
      <c r="A7" s="128">
        <v>101</v>
      </c>
      <c r="B7" s="95" t="s">
        <v>28</v>
      </c>
      <c r="C7" s="121" t="s">
        <v>94</v>
      </c>
      <c r="D7" s="29" t="s">
        <v>29</v>
      </c>
      <c r="E7" s="13">
        <v>4800000</v>
      </c>
      <c r="F7" s="13">
        <v>4300000</v>
      </c>
      <c r="G7" s="30">
        <v>3</v>
      </c>
      <c r="H7" s="123">
        <v>789</v>
      </c>
      <c r="I7" s="123">
        <v>979</v>
      </c>
      <c r="J7" s="13">
        <v>4000</v>
      </c>
      <c r="K7" s="121">
        <f t="shared" si="0"/>
        <v>760000</v>
      </c>
      <c r="L7" s="123">
        <v>100000</v>
      </c>
      <c r="M7" s="123">
        <f t="shared" si="1"/>
        <v>300000</v>
      </c>
      <c r="N7" s="13"/>
      <c r="O7" s="13">
        <v>100000</v>
      </c>
      <c r="P7" s="13">
        <v>200000</v>
      </c>
      <c r="Q7" s="123">
        <f t="shared" si="3"/>
        <v>5660000</v>
      </c>
      <c r="R7" s="23"/>
      <c r="S7" s="130">
        <f t="shared" si="2"/>
        <v>5660000</v>
      </c>
      <c r="T7" s="129"/>
    </row>
    <row r="8" spans="1:20" ht="13.8">
      <c r="A8" s="128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23">
        <v>3061</v>
      </c>
      <c r="I8" s="123">
        <v>3320</v>
      </c>
      <c r="J8" s="13">
        <v>4000</v>
      </c>
      <c r="K8" s="121">
        <f t="shared" si="0"/>
        <v>1036000</v>
      </c>
      <c r="L8" s="123">
        <v>100000</v>
      </c>
      <c r="M8" s="123">
        <f t="shared" si="1"/>
        <v>200000</v>
      </c>
      <c r="N8" s="13"/>
      <c r="O8" s="13"/>
      <c r="P8" s="13">
        <v>200000</v>
      </c>
      <c r="Q8" s="123">
        <f>F8+K8+M8+O8+P8</f>
        <v>5536000</v>
      </c>
      <c r="R8" s="23"/>
      <c r="S8" s="130">
        <f t="shared" si="2"/>
        <v>5536000</v>
      </c>
      <c r="T8" s="129"/>
    </row>
    <row r="9" spans="1:20" ht="13.8">
      <c r="A9" s="128">
        <v>201</v>
      </c>
      <c r="B9" s="95" t="s">
        <v>34</v>
      </c>
      <c r="C9" s="94" t="s">
        <v>98</v>
      </c>
      <c r="D9" s="29" t="s">
        <v>35</v>
      </c>
      <c r="E9" s="13">
        <v>5100000</v>
      </c>
      <c r="F9" s="13">
        <v>4600000</v>
      </c>
      <c r="G9" s="30">
        <v>2</v>
      </c>
      <c r="H9" s="123">
        <v>2387</v>
      </c>
      <c r="I9" s="123">
        <v>2648</v>
      </c>
      <c r="J9" s="13">
        <v>4000</v>
      </c>
      <c r="K9" s="121">
        <f t="shared" si="0"/>
        <v>1044000</v>
      </c>
      <c r="L9" s="123">
        <v>100000</v>
      </c>
      <c r="M9" s="123">
        <f t="shared" si="1"/>
        <v>200000</v>
      </c>
      <c r="N9" s="13"/>
      <c r="O9" s="13">
        <v>100000</v>
      </c>
      <c r="P9" s="13">
        <v>200000</v>
      </c>
      <c r="Q9" s="123">
        <f t="shared" ref="Q9:Q10" si="4">F9+K9+M9+P9+O9</f>
        <v>6144000</v>
      </c>
      <c r="R9" s="23"/>
      <c r="S9" s="130">
        <f t="shared" si="2"/>
        <v>6144000</v>
      </c>
      <c r="T9" s="129"/>
    </row>
    <row r="10" spans="1:20" ht="13.8">
      <c r="A10" s="128">
        <v>202</v>
      </c>
      <c r="B10" s="95" t="s">
        <v>108</v>
      </c>
      <c r="C10" s="94" t="s">
        <v>109</v>
      </c>
      <c r="D10" s="29" t="s">
        <v>32</v>
      </c>
      <c r="E10" s="13">
        <v>5300000</v>
      </c>
      <c r="F10" s="13">
        <v>4800000</v>
      </c>
      <c r="G10" s="30">
        <v>2</v>
      </c>
      <c r="H10" s="123">
        <v>1088</v>
      </c>
      <c r="I10" s="123">
        <v>1214</v>
      </c>
      <c r="J10" s="13">
        <v>4000</v>
      </c>
      <c r="K10" s="121">
        <f t="shared" si="0"/>
        <v>504000</v>
      </c>
      <c r="L10" s="123">
        <v>100000</v>
      </c>
      <c r="M10" s="123">
        <f t="shared" si="1"/>
        <v>200000</v>
      </c>
      <c r="N10" s="13"/>
      <c r="O10" s="13">
        <v>200000</v>
      </c>
      <c r="P10" s="13">
        <v>200000</v>
      </c>
      <c r="Q10" s="123">
        <f t="shared" si="4"/>
        <v>5904000</v>
      </c>
      <c r="R10" s="23"/>
      <c r="S10" s="130">
        <f t="shared" si="2"/>
        <v>5904000</v>
      </c>
      <c r="T10" s="129"/>
    </row>
    <row r="11" spans="1:20" ht="13.8">
      <c r="A11" s="128"/>
      <c r="B11" s="95"/>
      <c r="C11" s="94"/>
      <c r="D11" s="29"/>
      <c r="E11" s="13"/>
      <c r="F11" s="13"/>
      <c r="G11" s="30"/>
      <c r="H11" s="123"/>
      <c r="I11" s="123"/>
      <c r="J11" s="13"/>
      <c r="K11" s="121">
        <f t="shared" si="0"/>
        <v>0</v>
      </c>
      <c r="L11" s="123"/>
      <c r="M11" s="123"/>
      <c r="N11" s="13"/>
      <c r="O11" s="13"/>
      <c r="P11" s="13"/>
      <c r="Q11" s="123">
        <f t="shared" ref="Q11:Q12" si="5">F11+K11+M11+O11+P11</f>
        <v>0</v>
      </c>
      <c r="R11" s="23"/>
      <c r="S11" s="130">
        <f t="shared" si="2"/>
        <v>0</v>
      </c>
      <c r="T11" s="129"/>
    </row>
    <row r="12" spans="1:20" ht="13.8">
      <c r="A12" s="128"/>
      <c r="B12" s="13"/>
      <c r="C12" s="94"/>
      <c r="D12" s="29"/>
      <c r="E12" s="13"/>
      <c r="F12" s="13"/>
      <c r="G12" s="30"/>
      <c r="H12" s="123"/>
      <c r="I12" s="123"/>
      <c r="J12" s="13"/>
      <c r="K12" s="121">
        <f t="shared" si="0"/>
        <v>0</v>
      </c>
      <c r="L12" s="123"/>
      <c r="M12" s="123"/>
      <c r="N12" s="13"/>
      <c r="O12" s="13"/>
      <c r="P12" s="13"/>
      <c r="Q12" s="123">
        <f t="shared" si="5"/>
        <v>0</v>
      </c>
      <c r="R12" s="23"/>
      <c r="S12" s="130">
        <f t="shared" si="2"/>
        <v>0</v>
      </c>
      <c r="T12" s="129"/>
    </row>
    <row r="13" spans="1:20" ht="13.8">
      <c r="A13" s="128"/>
      <c r="B13" s="13"/>
      <c r="C13" s="94"/>
      <c r="D13" s="29"/>
      <c r="E13" s="13"/>
      <c r="F13" s="13"/>
      <c r="G13" s="30"/>
      <c r="H13" s="123"/>
      <c r="I13" s="123"/>
      <c r="J13" s="13"/>
      <c r="K13" s="121">
        <f t="shared" si="0"/>
        <v>0</v>
      </c>
      <c r="L13" s="123"/>
      <c r="M13" s="123"/>
      <c r="N13" s="13"/>
      <c r="O13" s="13"/>
      <c r="P13" s="13"/>
      <c r="Q13" s="123">
        <f>K13+M13+O13+P13+F13</f>
        <v>0</v>
      </c>
      <c r="R13" s="23"/>
      <c r="S13" s="130">
        <f t="shared" si="2"/>
        <v>0</v>
      </c>
      <c r="T13" s="129"/>
    </row>
    <row r="14" spans="1:20" ht="13.8">
      <c r="A14" s="131"/>
      <c r="B14" s="132"/>
      <c r="C14" s="132"/>
      <c r="D14" s="133"/>
      <c r="E14" s="132"/>
      <c r="F14" s="132"/>
      <c r="G14" s="134"/>
      <c r="H14" s="135"/>
      <c r="I14" s="135"/>
      <c r="J14" s="132"/>
      <c r="K14" s="135"/>
      <c r="L14" s="135"/>
      <c r="M14" s="132"/>
      <c r="N14" s="132"/>
      <c r="O14" s="132"/>
      <c r="P14" s="132"/>
      <c r="Q14" s="135"/>
      <c r="R14" s="135"/>
      <c r="S14" s="132"/>
      <c r="T14" s="136"/>
    </row>
    <row r="15" spans="1:20" ht="16.8">
      <c r="A15" s="137"/>
      <c r="B15" s="138" t="s">
        <v>38</v>
      </c>
      <c r="C15" s="138"/>
      <c r="D15" s="139"/>
      <c r="E15" s="140">
        <f t="shared" ref="E15:G15" si="6">SUM(E5:E14)</f>
        <v>27300000</v>
      </c>
      <c r="F15" s="140">
        <f t="shared" si="6"/>
        <v>21300000</v>
      </c>
      <c r="G15" s="141">
        <f t="shared" si="6"/>
        <v>10</v>
      </c>
      <c r="H15" s="140"/>
      <c r="I15" s="140"/>
      <c r="J15" s="140"/>
      <c r="K15" s="140">
        <f>SUM(K5:K13)</f>
        <v>4584000</v>
      </c>
      <c r="L15" s="140"/>
      <c r="M15" s="140">
        <f t="shared" ref="M15:P15" si="7">SUM(M5:M14)</f>
        <v>1000000</v>
      </c>
      <c r="N15" s="142">
        <f t="shared" si="7"/>
        <v>0</v>
      </c>
      <c r="O15" s="142">
        <f t="shared" si="7"/>
        <v>500000</v>
      </c>
      <c r="P15" s="140">
        <f t="shared" si="7"/>
        <v>1000000</v>
      </c>
      <c r="Q15" s="140">
        <f>SUM(Q5:Q13)</f>
        <v>28384000</v>
      </c>
      <c r="R15" s="140">
        <f>SUM(R5:R12)</f>
        <v>0</v>
      </c>
      <c r="S15" s="142">
        <f>SUM(S5:S13)</f>
        <v>28384000</v>
      </c>
      <c r="T15" s="143"/>
    </row>
    <row r="19" spans="1:5" ht="13.8">
      <c r="A19" s="191" t="s">
        <v>39</v>
      </c>
      <c r="B19" s="192"/>
      <c r="C19" s="192"/>
      <c r="D19" s="192"/>
      <c r="E19" s="193"/>
    </row>
    <row r="20" spans="1:5" ht="13.8">
      <c r="A20" s="194"/>
      <c r="B20" s="195"/>
      <c r="C20" s="195"/>
      <c r="D20" s="195"/>
      <c r="E20" s="196"/>
    </row>
    <row r="21" spans="1:5" ht="15.75" customHeight="1">
      <c r="A21" s="197" t="s">
        <v>40</v>
      </c>
      <c r="B21" s="144" t="s">
        <v>41</v>
      </c>
      <c r="C21" s="145" t="s">
        <v>42</v>
      </c>
      <c r="D21" s="145" t="s">
        <v>43</v>
      </c>
      <c r="E21" s="146" t="s">
        <v>44</v>
      </c>
    </row>
    <row r="22" spans="1:5" ht="15.75" customHeight="1">
      <c r="A22" s="198"/>
      <c r="B22" s="147" t="s">
        <v>129</v>
      </c>
      <c r="C22" s="148">
        <f>F15</f>
        <v>21300000</v>
      </c>
      <c r="D22" s="148">
        <v>15000000</v>
      </c>
      <c r="E22" s="149">
        <f t="shared" ref="E22:E27" si="8">C22-D22</f>
        <v>6300000</v>
      </c>
    </row>
    <row r="23" spans="1:5" ht="15.75" customHeight="1">
      <c r="A23" s="198"/>
      <c r="B23" s="150" t="s">
        <v>114</v>
      </c>
      <c r="C23" s="95">
        <f>K15</f>
        <v>4584000</v>
      </c>
      <c r="D23" s="13"/>
      <c r="E23" s="151">
        <f t="shared" si="8"/>
        <v>4584000</v>
      </c>
    </row>
    <row r="24" spans="1:5" ht="15.75" customHeight="1">
      <c r="A24" s="198"/>
      <c r="B24" s="150" t="s">
        <v>116</v>
      </c>
      <c r="C24" s="95">
        <f>M15</f>
        <v>1000000</v>
      </c>
      <c r="D24" s="65"/>
      <c r="E24" s="151">
        <f t="shared" si="8"/>
        <v>1000000</v>
      </c>
    </row>
    <row r="25" spans="1:5" ht="15.75" customHeight="1">
      <c r="A25" s="198"/>
      <c r="B25" s="150" t="s">
        <v>55</v>
      </c>
      <c r="C25" s="95">
        <f>P15</f>
        <v>1000000</v>
      </c>
      <c r="D25" s="65"/>
      <c r="E25" s="151">
        <f t="shared" si="8"/>
        <v>1000000</v>
      </c>
    </row>
    <row r="26" spans="1:5" ht="15.75" customHeight="1">
      <c r="A26" s="198"/>
      <c r="B26" s="150" t="s">
        <v>130</v>
      </c>
      <c r="C26" s="95">
        <f>N17</f>
        <v>0</v>
      </c>
      <c r="D26" s="95"/>
      <c r="E26" s="151">
        <f t="shared" si="8"/>
        <v>0</v>
      </c>
    </row>
    <row r="27" spans="1:5" ht="15.75" customHeight="1">
      <c r="A27" s="187"/>
      <c r="B27" s="152" t="s">
        <v>52</v>
      </c>
      <c r="C27" s="153">
        <f>O15</f>
        <v>500000</v>
      </c>
      <c r="D27" s="154"/>
      <c r="E27" s="155">
        <f t="shared" si="8"/>
        <v>500000</v>
      </c>
    </row>
    <row r="28" spans="1:5" ht="15.75" customHeight="1">
      <c r="A28" s="156"/>
      <c r="B28" s="157" t="s">
        <v>57</v>
      </c>
      <c r="C28" s="158">
        <f>SUM(C22:C27)</f>
        <v>28384000</v>
      </c>
      <c r="D28" s="110"/>
      <c r="E28" s="159"/>
    </row>
    <row r="29" spans="1:5" ht="15.75" customHeight="1">
      <c r="A29" s="156"/>
      <c r="B29" s="110"/>
      <c r="C29" s="110"/>
      <c r="D29" s="199" t="s">
        <v>131</v>
      </c>
      <c r="E29" s="200">
        <f>E22+E23+E24+E25+E26+E27</f>
        <v>13384000</v>
      </c>
    </row>
    <row r="30" spans="1:5" ht="15.75" customHeight="1">
      <c r="A30" s="156"/>
      <c r="B30" s="110"/>
      <c r="C30" s="110"/>
      <c r="D30" s="187"/>
      <c r="E30" s="187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34.8984375" customWidth="1"/>
    <col min="21" max="26" width="7.59765625" customWidth="1"/>
  </cols>
  <sheetData>
    <row r="1" spans="1:20" ht="13.8">
      <c r="A1" s="204" t="s">
        <v>118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3.8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</row>
    <row r="3" spans="1:20" ht="13.8">
      <c r="A3" s="186" t="s">
        <v>1</v>
      </c>
      <c r="B3" s="186" t="s">
        <v>2</v>
      </c>
      <c r="C3" s="186" t="s">
        <v>3</v>
      </c>
      <c r="D3" s="186" t="s">
        <v>68</v>
      </c>
      <c r="E3" s="186" t="s">
        <v>5</v>
      </c>
      <c r="F3" s="186" t="s">
        <v>6</v>
      </c>
      <c r="G3" s="186" t="s">
        <v>7</v>
      </c>
      <c r="H3" s="188" t="s">
        <v>8</v>
      </c>
      <c r="I3" s="189"/>
      <c r="J3" s="189"/>
      <c r="K3" s="190"/>
      <c r="L3" s="188" t="s">
        <v>9</v>
      </c>
      <c r="M3" s="201"/>
      <c r="N3" s="202" t="s">
        <v>10</v>
      </c>
      <c r="O3" s="186" t="s">
        <v>11</v>
      </c>
      <c r="P3" s="186" t="s">
        <v>12</v>
      </c>
      <c r="Q3" s="186" t="s">
        <v>13</v>
      </c>
      <c r="R3" s="186" t="s">
        <v>14</v>
      </c>
      <c r="S3" s="186" t="s">
        <v>15</v>
      </c>
      <c r="T3" s="186" t="s">
        <v>17</v>
      </c>
    </row>
    <row r="4" spans="1:20" ht="13.8">
      <c r="A4" s="187"/>
      <c r="B4" s="187"/>
      <c r="C4" s="187"/>
      <c r="D4" s="187"/>
      <c r="E4" s="187"/>
      <c r="F4" s="187"/>
      <c r="G4" s="187"/>
      <c r="H4" s="116" t="s">
        <v>18</v>
      </c>
      <c r="I4" s="116" t="s">
        <v>19</v>
      </c>
      <c r="J4" s="116" t="s">
        <v>20</v>
      </c>
      <c r="K4" s="117" t="s">
        <v>21</v>
      </c>
      <c r="L4" s="116" t="s">
        <v>22</v>
      </c>
      <c r="M4" s="118" t="s">
        <v>21</v>
      </c>
      <c r="N4" s="203"/>
      <c r="O4" s="187"/>
      <c r="P4" s="187"/>
      <c r="Q4" s="187"/>
      <c r="R4" s="187"/>
      <c r="S4" s="187"/>
      <c r="T4" s="187"/>
    </row>
    <row r="5" spans="1:20" ht="13.8">
      <c r="A5" s="119" t="s">
        <v>23</v>
      </c>
      <c r="B5" s="120"/>
      <c r="C5" s="121"/>
      <c r="D5" s="122"/>
      <c r="E5" s="123">
        <v>3500000</v>
      </c>
      <c r="F5" s="123"/>
      <c r="G5" s="124"/>
      <c r="H5" s="123"/>
      <c r="I5" s="123"/>
      <c r="J5" s="123">
        <v>4000</v>
      </c>
      <c r="K5" s="123">
        <f t="shared" ref="K5:K13" si="0">(I5-H5)*J5</f>
        <v>0</v>
      </c>
      <c r="L5" s="123">
        <v>100000</v>
      </c>
      <c r="M5" s="123">
        <f t="shared" ref="M5:M10" si="1">L5*G5</f>
        <v>0</v>
      </c>
      <c r="N5" s="123"/>
      <c r="O5" s="123"/>
      <c r="P5" s="123"/>
      <c r="Q5" s="123">
        <f>F5+K5+M5+O5+P5</f>
        <v>0</v>
      </c>
      <c r="R5" s="125"/>
      <c r="S5" s="130">
        <f t="shared" ref="S5:S13" si="2">Q5-R5</f>
        <v>0</v>
      </c>
      <c r="T5" s="127"/>
    </row>
    <row r="6" spans="1:20" ht="13.8">
      <c r="A6" s="128" t="s">
        <v>24</v>
      </c>
      <c r="B6" s="95" t="s">
        <v>25</v>
      </c>
      <c r="C6" s="96" t="s">
        <v>92</v>
      </c>
      <c r="D6" s="29" t="s">
        <v>26</v>
      </c>
      <c r="E6" s="23">
        <v>4000000</v>
      </c>
      <c r="F6" s="23">
        <v>3500000</v>
      </c>
      <c r="G6" s="30">
        <v>1</v>
      </c>
      <c r="H6" s="123">
        <v>3046</v>
      </c>
      <c r="I6" s="123">
        <v>3339</v>
      </c>
      <c r="J6" s="23">
        <v>4000</v>
      </c>
      <c r="K6" s="121">
        <f t="shared" si="0"/>
        <v>1172000</v>
      </c>
      <c r="L6" s="123">
        <v>100000</v>
      </c>
      <c r="M6" s="123">
        <f t="shared" si="1"/>
        <v>100000</v>
      </c>
      <c r="N6" s="13"/>
      <c r="O6" s="23">
        <v>100000</v>
      </c>
      <c r="P6" s="23">
        <v>200000</v>
      </c>
      <c r="Q6" s="123">
        <f t="shared" ref="Q6:Q7" si="3">F6+K6+M6+P6+O6</f>
        <v>5072000</v>
      </c>
      <c r="R6" s="23"/>
      <c r="S6" s="126">
        <f t="shared" si="2"/>
        <v>5072000</v>
      </c>
      <c r="T6" s="129"/>
    </row>
    <row r="7" spans="1:20" ht="13.8">
      <c r="A7" s="128">
        <v>101</v>
      </c>
      <c r="B7" s="95" t="s">
        <v>28</v>
      </c>
      <c r="C7" s="121" t="s">
        <v>94</v>
      </c>
      <c r="D7" s="29" t="s">
        <v>29</v>
      </c>
      <c r="E7" s="13">
        <v>4800000</v>
      </c>
      <c r="F7" s="13">
        <v>4300000</v>
      </c>
      <c r="G7" s="30">
        <v>3</v>
      </c>
      <c r="H7" s="123">
        <v>979</v>
      </c>
      <c r="I7" s="123">
        <v>1185</v>
      </c>
      <c r="J7" s="13">
        <v>4000</v>
      </c>
      <c r="K7" s="121">
        <f t="shared" si="0"/>
        <v>824000</v>
      </c>
      <c r="L7" s="123">
        <v>100000</v>
      </c>
      <c r="M7" s="123">
        <f t="shared" si="1"/>
        <v>300000</v>
      </c>
      <c r="N7" s="13"/>
      <c r="O7" s="13">
        <v>100000</v>
      </c>
      <c r="P7" s="13">
        <v>200000</v>
      </c>
      <c r="Q7" s="123">
        <f t="shared" si="3"/>
        <v>5724000</v>
      </c>
      <c r="R7" s="23"/>
      <c r="S7" s="126">
        <f t="shared" si="2"/>
        <v>5724000</v>
      </c>
      <c r="T7" s="129"/>
    </row>
    <row r="8" spans="1:20" ht="13.8">
      <c r="A8" s="128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23">
        <v>3320</v>
      </c>
      <c r="I8" s="123">
        <v>3695</v>
      </c>
      <c r="J8" s="13">
        <v>4000</v>
      </c>
      <c r="K8" s="121">
        <f t="shared" si="0"/>
        <v>1500000</v>
      </c>
      <c r="L8" s="123">
        <v>100000</v>
      </c>
      <c r="M8" s="123">
        <f t="shared" si="1"/>
        <v>200000</v>
      </c>
      <c r="N8" s="13"/>
      <c r="O8" s="13"/>
      <c r="P8" s="13">
        <v>200000</v>
      </c>
      <c r="Q8" s="123">
        <f>F8+K8+M8+O8+P8</f>
        <v>6000000</v>
      </c>
      <c r="R8" s="23"/>
      <c r="S8" s="126">
        <f t="shared" si="2"/>
        <v>6000000</v>
      </c>
      <c r="T8" s="129"/>
    </row>
    <row r="9" spans="1:20" ht="13.8">
      <c r="A9" s="128">
        <v>201</v>
      </c>
      <c r="B9" s="95" t="s">
        <v>34</v>
      </c>
      <c r="C9" s="94" t="s">
        <v>98</v>
      </c>
      <c r="D9" s="29" t="s">
        <v>35</v>
      </c>
      <c r="E9" s="13">
        <v>5100000</v>
      </c>
      <c r="F9" s="13">
        <v>4600000</v>
      </c>
      <c r="G9" s="30">
        <v>2</v>
      </c>
      <c r="H9" s="123">
        <v>2648</v>
      </c>
      <c r="I9" s="123">
        <v>2876</v>
      </c>
      <c r="J9" s="13">
        <v>4000</v>
      </c>
      <c r="K9" s="121">
        <f t="shared" si="0"/>
        <v>912000</v>
      </c>
      <c r="L9" s="123">
        <v>100000</v>
      </c>
      <c r="M9" s="123">
        <f t="shared" si="1"/>
        <v>200000</v>
      </c>
      <c r="N9" s="13"/>
      <c r="O9" s="13">
        <v>100000</v>
      </c>
      <c r="P9" s="13">
        <v>200000</v>
      </c>
      <c r="Q9" s="123">
        <f t="shared" ref="Q9:Q10" si="4">F9+K9+M9+P9+O9</f>
        <v>6012000</v>
      </c>
      <c r="R9" s="23"/>
      <c r="S9" s="126">
        <f t="shared" si="2"/>
        <v>6012000</v>
      </c>
      <c r="T9" s="129"/>
    </row>
    <row r="10" spans="1:20" ht="13.8">
      <c r="A10" s="128">
        <v>202</v>
      </c>
      <c r="B10" s="95" t="s">
        <v>108</v>
      </c>
      <c r="C10" s="94" t="s">
        <v>109</v>
      </c>
      <c r="D10" s="29" t="s">
        <v>32</v>
      </c>
      <c r="E10" s="13">
        <v>5300000</v>
      </c>
      <c r="F10" s="13">
        <v>4800000</v>
      </c>
      <c r="G10" s="30">
        <v>1</v>
      </c>
      <c r="H10" s="123">
        <v>1214</v>
      </c>
      <c r="I10" s="123">
        <v>1293</v>
      </c>
      <c r="J10" s="13">
        <v>4000</v>
      </c>
      <c r="K10" s="121">
        <f t="shared" si="0"/>
        <v>316000</v>
      </c>
      <c r="L10" s="123">
        <v>100000</v>
      </c>
      <c r="M10" s="123">
        <f t="shared" si="1"/>
        <v>100000</v>
      </c>
      <c r="N10" s="13"/>
      <c r="O10" s="13">
        <v>100000</v>
      </c>
      <c r="P10" s="13">
        <v>200000</v>
      </c>
      <c r="Q10" s="123">
        <f t="shared" si="4"/>
        <v>5516000</v>
      </c>
      <c r="R10" s="23"/>
      <c r="S10" s="126">
        <f t="shared" si="2"/>
        <v>5516000</v>
      </c>
      <c r="T10" s="129"/>
    </row>
    <row r="11" spans="1:20" ht="13.8">
      <c r="A11" s="128"/>
      <c r="B11" s="95"/>
      <c r="C11" s="94"/>
      <c r="D11" s="29"/>
      <c r="E11" s="13"/>
      <c r="F11" s="13"/>
      <c r="G11" s="30"/>
      <c r="H11" s="123"/>
      <c r="I11" s="123"/>
      <c r="J11" s="13"/>
      <c r="K11" s="121">
        <f t="shared" si="0"/>
        <v>0</v>
      </c>
      <c r="L11" s="123"/>
      <c r="M11" s="123"/>
      <c r="N11" s="13"/>
      <c r="O11" s="13"/>
      <c r="P11" s="13"/>
      <c r="Q11" s="123">
        <f t="shared" ref="Q11:Q12" si="5">F11+K11+M11+O11+P11</f>
        <v>0</v>
      </c>
      <c r="R11" s="23"/>
      <c r="S11" s="130">
        <f t="shared" si="2"/>
        <v>0</v>
      </c>
      <c r="T11" s="129"/>
    </row>
    <row r="12" spans="1:20" ht="13.8">
      <c r="A12" s="128"/>
      <c r="B12" s="13"/>
      <c r="C12" s="94"/>
      <c r="D12" s="29"/>
      <c r="E12" s="13"/>
      <c r="F12" s="13"/>
      <c r="G12" s="30"/>
      <c r="H12" s="123"/>
      <c r="I12" s="123"/>
      <c r="J12" s="13"/>
      <c r="K12" s="121">
        <f t="shared" si="0"/>
        <v>0</v>
      </c>
      <c r="L12" s="123"/>
      <c r="M12" s="123"/>
      <c r="N12" s="13"/>
      <c r="O12" s="13"/>
      <c r="P12" s="13"/>
      <c r="Q12" s="123">
        <f t="shared" si="5"/>
        <v>0</v>
      </c>
      <c r="R12" s="23"/>
      <c r="S12" s="130">
        <f t="shared" si="2"/>
        <v>0</v>
      </c>
      <c r="T12" s="129"/>
    </row>
    <row r="13" spans="1:20" ht="13.8">
      <c r="A13" s="128"/>
      <c r="B13" s="13"/>
      <c r="C13" s="94"/>
      <c r="D13" s="29"/>
      <c r="E13" s="13"/>
      <c r="F13" s="13"/>
      <c r="G13" s="30"/>
      <c r="H13" s="123"/>
      <c r="I13" s="123"/>
      <c r="J13" s="13"/>
      <c r="K13" s="121">
        <f t="shared" si="0"/>
        <v>0</v>
      </c>
      <c r="L13" s="123"/>
      <c r="M13" s="123"/>
      <c r="N13" s="13"/>
      <c r="O13" s="13"/>
      <c r="P13" s="13"/>
      <c r="Q13" s="123">
        <f>K13+M13+O13+P13+F13</f>
        <v>0</v>
      </c>
      <c r="R13" s="23"/>
      <c r="S13" s="130">
        <f t="shared" si="2"/>
        <v>0</v>
      </c>
      <c r="T13" s="129"/>
    </row>
    <row r="14" spans="1:20" ht="13.8">
      <c r="A14" s="131"/>
      <c r="B14" s="132"/>
      <c r="C14" s="132"/>
      <c r="D14" s="133"/>
      <c r="E14" s="132"/>
      <c r="F14" s="132"/>
      <c r="G14" s="134"/>
      <c r="H14" s="135"/>
      <c r="I14" s="135"/>
      <c r="J14" s="132"/>
      <c r="K14" s="135"/>
      <c r="L14" s="135"/>
      <c r="M14" s="132"/>
      <c r="N14" s="132"/>
      <c r="O14" s="132"/>
      <c r="P14" s="132"/>
      <c r="Q14" s="135"/>
      <c r="R14" s="135"/>
      <c r="S14" s="132"/>
      <c r="T14" s="136"/>
    </row>
    <row r="15" spans="1:20" ht="16.8">
      <c r="A15" s="137"/>
      <c r="B15" s="138" t="s">
        <v>38</v>
      </c>
      <c r="C15" s="138"/>
      <c r="D15" s="139"/>
      <c r="E15" s="140">
        <f t="shared" ref="E15:G15" si="6">SUM(E5:E14)</f>
        <v>27300000</v>
      </c>
      <c r="F15" s="140">
        <f t="shared" si="6"/>
        <v>21300000</v>
      </c>
      <c r="G15" s="141">
        <f t="shared" si="6"/>
        <v>9</v>
      </c>
      <c r="H15" s="140"/>
      <c r="I15" s="140"/>
      <c r="J15" s="140"/>
      <c r="K15" s="140">
        <f>SUM(K5:K13)</f>
        <v>4724000</v>
      </c>
      <c r="L15" s="140"/>
      <c r="M15" s="140">
        <f t="shared" ref="M15:P15" si="7">SUM(M5:M14)</f>
        <v>900000</v>
      </c>
      <c r="N15" s="142">
        <f t="shared" si="7"/>
        <v>0</v>
      </c>
      <c r="O15" s="142">
        <f t="shared" si="7"/>
        <v>400000</v>
      </c>
      <c r="P15" s="140">
        <f t="shared" si="7"/>
        <v>1000000</v>
      </c>
      <c r="Q15" s="140">
        <f>SUM(Q5:Q13)</f>
        <v>28324000</v>
      </c>
      <c r="R15" s="140">
        <f>SUM(R5:R12)</f>
        <v>0</v>
      </c>
      <c r="S15" s="142">
        <f>SUM(S5:S13)</f>
        <v>28324000</v>
      </c>
      <c r="T15" s="143"/>
    </row>
    <row r="19" spans="1:5" ht="13.8">
      <c r="A19" s="191" t="s">
        <v>39</v>
      </c>
      <c r="B19" s="192"/>
      <c r="C19" s="192"/>
      <c r="D19" s="192"/>
      <c r="E19" s="193"/>
    </row>
    <row r="20" spans="1:5" ht="13.8">
      <c r="A20" s="194"/>
      <c r="B20" s="195"/>
      <c r="C20" s="195"/>
      <c r="D20" s="195"/>
      <c r="E20" s="196"/>
    </row>
    <row r="21" spans="1:5" ht="15.75" customHeight="1">
      <c r="A21" s="197" t="s">
        <v>40</v>
      </c>
      <c r="B21" s="144" t="s">
        <v>41</v>
      </c>
      <c r="C21" s="145" t="s">
        <v>42</v>
      </c>
      <c r="D21" s="145" t="s">
        <v>43</v>
      </c>
      <c r="E21" s="146" t="s">
        <v>44</v>
      </c>
    </row>
    <row r="22" spans="1:5" ht="15.75" customHeight="1">
      <c r="A22" s="198"/>
      <c r="B22" s="147" t="s">
        <v>129</v>
      </c>
      <c r="C22" s="148">
        <f>F15</f>
        <v>21300000</v>
      </c>
      <c r="D22" s="148">
        <v>15000000</v>
      </c>
      <c r="E22" s="149">
        <f t="shared" ref="E22:E27" si="8">C22-D22</f>
        <v>6300000</v>
      </c>
    </row>
    <row r="23" spans="1:5" ht="15.75" customHeight="1">
      <c r="A23" s="198"/>
      <c r="B23" s="150" t="s">
        <v>114</v>
      </c>
      <c r="C23" s="95">
        <f>K15</f>
        <v>4724000</v>
      </c>
      <c r="D23" s="13"/>
      <c r="E23" s="151">
        <f t="shared" si="8"/>
        <v>4724000</v>
      </c>
    </row>
    <row r="24" spans="1:5" ht="15.75" customHeight="1">
      <c r="A24" s="198"/>
      <c r="B24" s="150" t="s">
        <v>116</v>
      </c>
      <c r="C24" s="95">
        <f>M15</f>
        <v>900000</v>
      </c>
      <c r="D24" s="65"/>
      <c r="E24" s="151">
        <f t="shared" si="8"/>
        <v>900000</v>
      </c>
    </row>
    <row r="25" spans="1:5" ht="15.75" customHeight="1">
      <c r="A25" s="198"/>
      <c r="B25" s="150" t="s">
        <v>55</v>
      </c>
      <c r="C25" s="95">
        <f>P15</f>
        <v>1000000</v>
      </c>
      <c r="D25" s="65"/>
      <c r="E25" s="151">
        <f t="shared" si="8"/>
        <v>1000000</v>
      </c>
    </row>
    <row r="26" spans="1:5" ht="15.75" customHeight="1">
      <c r="A26" s="198"/>
      <c r="B26" s="150" t="s">
        <v>130</v>
      </c>
      <c r="C26" s="95">
        <f>N17</f>
        <v>0</v>
      </c>
      <c r="D26" s="95"/>
      <c r="E26" s="151">
        <f t="shared" si="8"/>
        <v>0</v>
      </c>
    </row>
    <row r="27" spans="1:5" ht="15.75" customHeight="1">
      <c r="A27" s="187"/>
      <c r="B27" s="152" t="s">
        <v>52</v>
      </c>
      <c r="C27" s="153">
        <f>O15</f>
        <v>400000</v>
      </c>
      <c r="D27" s="154"/>
      <c r="E27" s="155">
        <f t="shared" si="8"/>
        <v>400000</v>
      </c>
    </row>
    <row r="28" spans="1:5" ht="15.75" customHeight="1">
      <c r="A28" s="156"/>
      <c r="B28" s="157" t="s">
        <v>57</v>
      </c>
      <c r="C28" s="158">
        <f>SUM(C22:C27)</f>
        <v>28324000</v>
      </c>
      <c r="D28" s="110"/>
      <c r="E28" s="159"/>
    </row>
    <row r="29" spans="1:5" ht="15.75" customHeight="1">
      <c r="A29" s="156"/>
      <c r="B29" s="110"/>
      <c r="C29" s="110"/>
      <c r="D29" s="199" t="s">
        <v>131</v>
      </c>
      <c r="E29" s="200">
        <f>E22+E23+E24+E25+E26+E27</f>
        <v>13324000</v>
      </c>
    </row>
    <row r="30" spans="1:5" ht="15.75" customHeight="1">
      <c r="A30" s="156"/>
      <c r="B30" s="110"/>
      <c r="C30" s="110"/>
      <c r="D30" s="187"/>
      <c r="E30" s="187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9765625" defaultRowHeight="15" customHeight="1"/>
  <cols>
    <col min="1" max="1" width="12.09765625" customWidth="1"/>
    <col min="2" max="2" width="26.3984375" customWidth="1"/>
    <col min="3" max="3" width="16.09765625" customWidth="1"/>
    <col min="4" max="4" width="23.5" customWidth="1"/>
    <col min="5" max="5" width="17" customWidth="1"/>
    <col min="6" max="6" width="18.69921875" customWidth="1"/>
    <col min="7" max="7" width="12.59765625" customWidth="1"/>
    <col min="8" max="8" width="10.69921875" customWidth="1"/>
    <col min="9" max="9" width="10.3984375" customWidth="1"/>
    <col min="10" max="10" width="16.59765625" customWidth="1"/>
    <col min="11" max="11" width="13.59765625" customWidth="1"/>
    <col min="12" max="12" width="13.19921875" customWidth="1"/>
    <col min="13" max="13" width="14.3984375" customWidth="1"/>
    <col min="14" max="14" width="7.59765625" customWidth="1"/>
    <col min="15" max="15" width="12.69921875" customWidth="1"/>
    <col min="16" max="16" width="11.19921875" customWidth="1"/>
    <col min="17" max="17" width="13.59765625" customWidth="1"/>
    <col min="18" max="18" width="12" customWidth="1"/>
    <col min="19" max="19" width="13.09765625" customWidth="1"/>
    <col min="20" max="20" width="34.8984375" customWidth="1"/>
    <col min="21" max="26" width="7.59765625" customWidth="1"/>
  </cols>
  <sheetData>
    <row r="1" spans="1:20" ht="13.8">
      <c r="A1" s="204" t="s">
        <v>118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3"/>
    </row>
    <row r="2" spans="1:20" ht="13.8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</row>
    <row r="3" spans="1:20" ht="13.8">
      <c r="A3" s="186" t="s">
        <v>1</v>
      </c>
      <c r="B3" s="186" t="s">
        <v>2</v>
      </c>
      <c r="C3" s="186" t="s">
        <v>3</v>
      </c>
      <c r="D3" s="186" t="s">
        <v>68</v>
      </c>
      <c r="E3" s="186" t="s">
        <v>5</v>
      </c>
      <c r="F3" s="186" t="s">
        <v>6</v>
      </c>
      <c r="G3" s="186" t="s">
        <v>7</v>
      </c>
      <c r="H3" s="188" t="s">
        <v>8</v>
      </c>
      <c r="I3" s="189"/>
      <c r="J3" s="189"/>
      <c r="K3" s="190"/>
      <c r="L3" s="188" t="s">
        <v>9</v>
      </c>
      <c r="M3" s="201"/>
      <c r="N3" s="202" t="s">
        <v>10</v>
      </c>
      <c r="O3" s="186" t="s">
        <v>11</v>
      </c>
      <c r="P3" s="186" t="s">
        <v>12</v>
      </c>
      <c r="Q3" s="186" t="s">
        <v>13</v>
      </c>
      <c r="R3" s="186" t="s">
        <v>14</v>
      </c>
      <c r="S3" s="186" t="s">
        <v>15</v>
      </c>
      <c r="T3" s="186" t="s">
        <v>17</v>
      </c>
    </row>
    <row r="4" spans="1:20" ht="13.8">
      <c r="A4" s="187"/>
      <c r="B4" s="187"/>
      <c r="C4" s="187"/>
      <c r="D4" s="187"/>
      <c r="E4" s="187"/>
      <c r="F4" s="187"/>
      <c r="G4" s="187"/>
      <c r="H4" s="116" t="s">
        <v>18</v>
      </c>
      <c r="I4" s="116" t="s">
        <v>19</v>
      </c>
      <c r="J4" s="116" t="s">
        <v>20</v>
      </c>
      <c r="K4" s="117" t="s">
        <v>21</v>
      </c>
      <c r="L4" s="116" t="s">
        <v>22</v>
      </c>
      <c r="M4" s="118" t="s">
        <v>21</v>
      </c>
      <c r="N4" s="203"/>
      <c r="O4" s="187"/>
      <c r="P4" s="187"/>
      <c r="Q4" s="187"/>
      <c r="R4" s="187"/>
      <c r="S4" s="187"/>
      <c r="T4" s="187"/>
    </row>
    <row r="5" spans="1:20" ht="13.8">
      <c r="A5" s="119" t="s">
        <v>23</v>
      </c>
      <c r="B5" s="120"/>
      <c r="C5" s="121"/>
      <c r="D5" s="122"/>
      <c r="E5" s="123">
        <v>3500000</v>
      </c>
      <c r="F5" s="123"/>
      <c r="G5" s="124"/>
      <c r="H5" s="123"/>
      <c r="I5" s="123"/>
      <c r="J5" s="123">
        <v>4000</v>
      </c>
      <c r="K5" s="123">
        <f t="shared" ref="K5:K13" si="0">(I5-H5)*J5</f>
        <v>0</v>
      </c>
      <c r="L5" s="123">
        <v>100000</v>
      </c>
      <c r="M5" s="123">
        <f t="shared" ref="M5:M10" si="1">L5*G5</f>
        <v>0</v>
      </c>
      <c r="N5" s="123"/>
      <c r="O5" s="123"/>
      <c r="P5" s="123"/>
      <c r="Q5" s="123">
        <f>F5+K5+M5+O5+P5</f>
        <v>0</v>
      </c>
      <c r="R5" s="125"/>
      <c r="S5" s="130">
        <f t="shared" ref="S5:S13" si="2">Q5-R5</f>
        <v>0</v>
      </c>
      <c r="T5" s="127"/>
    </row>
    <row r="6" spans="1:20" ht="13.8">
      <c r="A6" s="128" t="s">
        <v>24</v>
      </c>
      <c r="B6" s="95" t="s">
        <v>25</v>
      </c>
      <c r="C6" s="96" t="s">
        <v>92</v>
      </c>
      <c r="D6" s="29" t="s">
        <v>26</v>
      </c>
      <c r="E6" s="23">
        <v>4000000</v>
      </c>
      <c r="F6" s="23">
        <v>3500000</v>
      </c>
      <c r="G6" s="30">
        <v>1</v>
      </c>
      <c r="H6" s="123">
        <v>3339</v>
      </c>
      <c r="I6" s="123">
        <v>3619</v>
      </c>
      <c r="J6" s="23">
        <v>4000</v>
      </c>
      <c r="K6" s="121">
        <f t="shared" si="0"/>
        <v>1120000</v>
      </c>
      <c r="L6" s="123">
        <v>100000</v>
      </c>
      <c r="M6" s="123">
        <f t="shared" si="1"/>
        <v>100000</v>
      </c>
      <c r="N6" s="13"/>
      <c r="O6" s="23">
        <v>100000</v>
      </c>
      <c r="P6" s="23">
        <v>200000</v>
      </c>
      <c r="Q6" s="123">
        <f t="shared" ref="Q6:Q7" si="3">F6+K6+M6+P6+O6</f>
        <v>5020000</v>
      </c>
      <c r="R6" s="23"/>
      <c r="S6" s="130">
        <f t="shared" si="2"/>
        <v>5020000</v>
      </c>
      <c r="T6" s="129"/>
    </row>
    <row r="7" spans="1:20" ht="13.8">
      <c r="A7" s="128">
        <v>101</v>
      </c>
      <c r="B7" s="95" t="s">
        <v>28</v>
      </c>
      <c r="C7" s="121" t="s">
        <v>94</v>
      </c>
      <c r="D7" s="29" t="s">
        <v>29</v>
      </c>
      <c r="E7" s="13">
        <v>4800000</v>
      </c>
      <c r="F7" s="13">
        <v>4300000</v>
      </c>
      <c r="G7" s="30">
        <v>3</v>
      </c>
      <c r="H7" s="123">
        <v>1185</v>
      </c>
      <c r="I7" s="123">
        <v>1395</v>
      </c>
      <c r="J7" s="13">
        <v>4000</v>
      </c>
      <c r="K7" s="121">
        <f t="shared" si="0"/>
        <v>840000</v>
      </c>
      <c r="L7" s="123">
        <v>100000</v>
      </c>
      <c r="M7" s="123">
        <f t="shared" si="1"/>
        <v>300000</v>
      </c>
      <c r="N7" s="13"/>
      <c r="O7" s="13">
        <v>100000</v>
      </c>
      <c r="P7" s="13">
        <v>200000</v>
      </c>
      <c r="Q7" s="123">
        <f t="shared" si="3"/>
        <v>5740000</v>
      </c>
      <c r="R7" s="23"/>
      <c r="S7" s="130">
        <f t="shared" si="2"/>
        <v>5740000</v>
      </c>
      <c r="T7" s="129"/>
    </row>
    <row r="8" spans="1:20" ht="13.8">
      <c r="A8" s="128">
        <v>102</v>
      </c>
      <c r="B8" s="95" t="s">
        <v>31</v>
      </c>
      <c r="C8" s="94" t="s">
        <v>96</v>
      </c>
      <c r="D8" s="29" t="s">
        <v>32</v>
      </c>
      <c r="E8" s="13">
        <v>4600000</v>
      </c>
      <c r="F8" s="13">
        <v>4100000</v>
      </c>
      <c r="G8" s="30">
        <v>2</v>
      </c>
      <c r="H8" s="123">
        <v>3695</v>
      </c>
      <c r="I8" s="123">
        <v>4032</v>
      </c>
      <c r="J8" s="13">
        <v>4000</v>
      </c>
      <c r="K8" s="121">
        <f t="shared" si="0"/>
        <v>1348000</v>
      </c>
      <c r="L8" s="123">
        <v>100000</v>
      </c>
      <c r="M8" s="123">
        <f t="shared" si="1"/>
        <v>200000</v>
      </c>
      <c r="N8" s="13"/>
      <c r="O8" s="13"/>
      <c r="P8" s="13">
        <v>200000</v>
      </c>
      <c r="Q8" s="123">
        <f>F8+K8+M8+O8+P8</f>
        <v>5848000</v>
      </c>
      <c r="R8" s="23"/>
      <c r="S8" s="130">
        <f t="shared" si="2"/>
        <v>5848000</v>
      </c>
      <c r="T8" s="129"/>
    </row>
    <row r="9" spans="1:20" ht="13.8">
      <c r="A9" s="128">
        <v>201</v>
      </c>
      <c r="B9" s="95" t="s">
        <v>34</v>
      </c>
      <c r="C9" s="94" t="s">
        <v>98</v>
      </c>
      <c r="D9" s="29" t="s">
        <v>35</v>
      </c>
      <c r="E9" s="13">
        <v>5100000</v>
      </c>
      <c r="F9" s="13">
        <v>4600000</v>
      </c>
      <c r="G9" s="30">
        <v>2</v>
      </c>
      <c r="H9" s="123">
        <v>2876</v>
      </c>
      <c r="I9" s="123">
        <v>3073</v>
      </c>
      <c r="J9" s="13">
        <v>4000</v>
      </c>
      <c r="K9" s="121">
        <f t="shared" si="0"/>
        <v>788000</v>
      </c>
      <c r="L9" s="123">
        <v>100000</v>
      </c>
      <c r="M9" s="123">
        <f t="shared" si="1"/>
        <v>200000</v>
      </c>
      <c r="N9" s="13"/>
      <c r="O9" s="13">
        <v>100000</v>
      </c>
      <c r="P9" s="13">
        <v>200000</v>
      </c>
      <c r="Q9" s="123">
        <f t="shared" ref="Q9:Q10" si="4">F9+K9+M9+P9+O9</f>
        <v>5888000</v>
      </c>
      <c r="R9" s="23"/>
      <c r="S9" s="130">
        <f t="shared" si="2"/>
        <v>5888000</v>
      </c>
      <c r="T9" s="129"/>
    </row>
    <row r="10" spans="1:20" ht="13.8">
      <c r="A10" s="128">
        <v>202</v>
      </c>
      <c r="B10" s="95"/>
      <c r="C10" s="94"/>
      <c r="D10" s="29" t="s">
        <v>37</v>
      </c>
      <c r="E10" s="13">
        <v>5300000</v>
      </c>
      <c r="F10" s="13">
        <v>3920000</v>
      </c>
      <c r="G10" s="30"/>
      <c r="H10" s="123">
        <v>1293</v>
      </c>
      <c r="I10" s="123">
        <v>1326</v>
      </c>
      <c r="J10" s="13">
        <v>4000</v>
      </c>
      <c r="K10" s="121">
        <f t="shared" si="0"/>
        <v>132000</v>
      </c>
      <c r="L10" s="123">
        <v>100000</v>
      </c>
      <c r="M10" s="123">
        <f t="shared" si="1"/>
        <v>0</v>
      </c>
      <c r="N10" s="13"/>
      <c r="O10" s="13"/>
      <c r="P10" s="13"/>
      <c r="Q10" s="123">
        <f t="shared" si="4"/>
        <v>4052000</v>
      </c>
      <c r="R10" s="23"/>
      <c r="S10" s="130">
        <f t="shared" si="2"/>
        <v>4052000</v>
      </c>
      <c r="T10" s="129"/>
    </row>
    <row r="11" spans="1:20" ht="13.8">
      <c r="A11" s="128"/>
      <c r="B11" s="95"/>
      <c r="C11" s="94"/>
      <c r="D11" s="29"/>
      <c r="E11" s="13"/>
      <c r="F11" s="13"/>
      <c r="G11" s="30"/>
      <c r="H11" s="123"/>
      <c r="I11" s="123"/>
      <c r="J11" s="13"/>
      <c r="K11" s="121">
        <f t="shared" si="0"/>
        <v>0</v>
      </c>
      <c r="L11" s="123"/>
      <c r="M11" s="123"/>
      <c r="N11" s="13"/>
      <c r="O11" s="13"/>
      <c r="P11" s="13"/>
      <c r="Q11" s="123">
        <f t="shared" ref="Q11:Q12" si="5">F11+K11+M11+O11+P11</f>
        <v>0</v>
      </c>
      <c r="R11" s="23"/>
      <c r="S11" s="130">
        <f t="shared" si="2"/>
        <v>0</v>
      </c>
      <c r="T11" s="129"/>
    </row>
    <row r="12" spans="1:20" ht="13.8">
      <c r="A12" s="128"/>
      <c r="B12" s="13"/>
      <c r="C12" s="94"/>
      <c r="D12" s="29"/>
      <c r="E12" s="13"/>
      <c r="F12" s="13"/>
      <c r="G12" s="30"/>
      <c r="H12" s="123"/>
      <c r="I12" s="123"/>
      <c r="J12" s="13"/>
      <c r="K12" s="121">
        <f t="shared" si="0"/>
        <v>0</v>
      </c>
      <c r="L12" s="123"/>
      <c r="M12" s="123"/>
      <c r="N12" s="13"/>
      <c r="O12" s="13"/>
      <c r="P12" s="13"/>
      <c r="Q12" s="123">
        <f t="shared" si="5"/>
        <v>0</v>
      </c>
      <c r="R12" s="23"/>
      <c r="S12" s="130">
        <f t="shared" si="2"/>
        <v>0</v>
      </c>
      <c r="T12" s="129"/>
    </row>
    <row r="13" spans="1:20" ht="13.8">
      <c r="A13" s="128"/>
      <c r="B13" s="13"/>
      <c r="C13" s="94"/>
      <c r="D13" s="29"/>
      <c r="E13" s="13"/>
      <c r="F13" s="13"/>
      <c r="G13" s="30"/>
      <c r="H13" s="123"/>
      <c r="I13" s="123"/>
      <c r="J13" s="13"/>
      <c r="K13" s="121">
        <f t="shared" si="0"/>
        <v>0</v>
      </c>
      <c r="L13" s="123"/>
      <c r="M13" s="123"/>
      <c r="N13" s="13"/>
      <c r="O13" s="13"/>
      <c r="P13" s="13"/>
      <c r="Q13" s="123">
        <f>K13+M13+O13+P13+F13</f>
        <v>0</v>
      </c>
      <c r="R13" s="23"/>
      <c r="S13" s="130">
        <f t="shared" si="2"/>
        <v>0</v>
      </c>
      <c r="T13" s="129"/>
    </row>
    <row r="14" spans="1:20" ht="13.8">
      <c r="A14" s="131"/>
      <c r="B14" s="132"/>
      <c r="C14" s="132"/>
      <c r="D14" s="133"/>
      <c r="E14" s="132"/>
      <c r="F14" s="132"/>
      <c r="G14" s="134"/>
      <c r="H14" s="135"/>
      <c r="I14" s="135"/>
      <c r="J14" s="132"/>
      <c r="K14" s="135"/>
      <c r="L14" s="135"/>
      <c r="M14" s="132"/>
      <c r="N14" s="132"/>
      <c r="O14" s="132"/>
      <c r="P14" s="132"/>
      <c r="Q14" s="135"/>
      <c r="R14" s="135"/>
      <c r="S14" s="132"/>
      <c r="T14" s="136"/>
    </row>
    <row r="15" spans="1:20" ht="16.8">
      <c r="A15" s="137"/>
      <c r="B15" s="138" t="s">
        <v>38</v>
      </c>
      <c r="C15" s="138"/>
      <c r="D15" s="139"/>
      <c r="E15" s="140">
        <f t="shared" ref="E15:G15" si="6">SUM(E5:E14)</f>
        <v>27300000</v>
      </c>
      <c r="F15" s="140">
        <f t="shared" si="6"/>
        <v>20420000</v>
      </c>
      <c r="G15" s="141">
        <f t="shared" si="6"/>
        <v>8</v>
      </c>
      <c r="H15" s="140"/>
      <c r="I15" s="140"/>
      <c r="J15" s="140"/>
      <c r="K15" s="140">
        <f>SUM(K5:K13)</f>
        <v>4228000</v>
      </c>
      <c r="L15" s="140"/>
      <c r="M15" s="140">
        <f t="shared" ref="M15:P15" si="7">SUM(M5:M14)</f>
        <v>800000</v>
      </c>
      <c r="N15" s="142">
        <f t="shared" si="7"/>
        <v>0</v>
      </c>
      <c r="O15" s="142">
        <f t="shared" si="7"/>
        <v>300000</v>
      </c>
      <c r="P15" s="140">
        <f t="shared" si="7"/>
        <v>800000</v>
      </c>
      <c r="Q15" s="140">
        <f>SUM(Q5:Q13)</f>
        <v>26548000</v>
      </c>
      <c r="R15" s="140">
        <f>SUM(R5:R12)</f>
        <v>0</v>
      </c>
      <c r="S15" s="142">
        <f>SUM(S5:S13)</f>
        <v>26548000</v>
      </c>
      <c r="T15" s="143"/>
    </row>
    <row r="19" spans="1:5" ht="13.8">
      <c r="A19" s="191" t="s">
        <v>39</v>
      </c>
      <c r="B19" s="192"/>
      <c r="C19" s="192"/>
      <c r="D19" s="192"/>
      <c r="E19" s="193"/>
    </row>
    <row r="20" spans="1:5" ht="13.8">
      <c r="A20" s="194"/>
      <c r="B20" s="195"/>
      <c r="C20" s="195"/>
      <c r="D20" s="195"/>
      <c r="E20" s="196"/>
    </row>
    <row r="21" spans="1:5" ht="15.75" customHeight="1">
      <c r="A21" s="197" t="s">
        <v>40</v>
      </c>
      <c r="B21" s="144" t="s">
        <v>41</v>
      </c>
      <c r="C21" s="145" t="s">
        <v>42</v>
      </c>
      <c r="D21" s="145" t="s">
        <v>43</v>
      </c>
      <c r="E21" s="146" t="s">
        <v>44</v>
      </c>
    </row>
    <row r="22" spans="1:5" ht="15.75" customHeight="1">
      <c r="A22" s="198"/>
      <c r="B22" s="147" t="s">
        <v>129</v>
      </c>
      <c r="C22" s="148">
        <f>F15</f>
        <v>20420000</v>
      </c>
      <c r="D22" s="148">
        <v>15000000</v>
      </c>
      <c r="E22" s="149">
        <f t="shared" ref="E22:E27" si="8">C22-D22</f>
        <v>5420000</v>
      </c>
    </row>
    <row r="23" spans="1:5" ht="15.75" customHeight="1">
      <c r="A23" s="198"/>
      <c r="B23" s="150" t="s">
        <v>114</v>
      </c>
      <c r="C23" s="95">
        <f>K15</f>
        <v>4228000</v>
      </c>
      <c r="D23" s="13"/>
      <c r="E23" s="151">
        <f t="shared" si="8"/>
        <v>4228000</v>
      </c>
    </row>
    <row r="24" spans="1:5" ht="15.75" customHeight="1">
      <c r="A24" s="198"/>
      <c r="B24" s="150" t="s">
        <v>116</v>
      </c>
      <c r="C24" s="95">
        <f>M15</f>
        <v>800000</v>
      </c>
      <c r="D24" s="65"/>
      <c r="E24" s="151">
        <f t="shared" si="8"/>
        <v>800000</v>
      </c>
    </row>
    <row r="25" spans="1:5" ht="15.75" customHeight="1">
      <c r="A25" s="198"/>
      <c r="B25" s="150" t="s">
        <v>55</v>
      </c>
      <c r="C25" s="95">
        <f>P15</f>
        <v>800000</v>
      </c>
      <c r="D25" s="65"/>
      <c r="E25" s="151">
        <f t="shared" si="8"/>
        <v>800000</v>
      </c>
    </row>
    <row r="26" spans="1:5" ht="15.75" customHeight="1">
      <c r="A26" s="198"/>
      <c r="B26" s="150" t="s">
        <v>130</v>
      </c>
      <c r="C26" s="95">
        <f>N17</f>
        <v>0</v>
      </c>
      <c r="D26" s="95"/>
      <c r="E26" s="151">
        <f t="shared" si="8"/>
        <v>0</v>
      </c>
    </row>
    <row r="27" spans="1:5" ht="15.75" customHeight="1">
      <c r="A27" s="187"/>
      <c r="B27" s="152" t="s">
        <v>52</v>
      </c>
      <c r="C27" s="153">
        <f>O15</f>
        <v>300000</v>
      </c>
      <c r="D27" s="154"/>
      <c r="E27" s="155">
        <f t="shared" si="8"/>
        <v>300000</v>
      </c>
    </row>
    <row r="28" spans="1:5" ht="15.75" customHeight="1">
      <c r="A28" s="156"/>
      <c r="B28" s="157" t="s">
        <v>57</v>
      </c>
      <c r="C28" s="158">
        <f>SUM(C22:C27)</f>
        <v>26548000</v>
      </c>
      <c r="D28" s="110"/>
      <c r="E28" s="159"/>
    </row>
    <row r="29" spans="1:5" ht="15.75" customHeight="1">
      <c r="A29" s="156"/>
      <c r="B29" s="110"/>
      <c r="C29" s="110"/>
      <c r="D29" s="199" t="s">
        <v>131</v>
      </c>
      <c r="E29" s="200">
        <f>E22+E23+E24+E25+E26+E27</f>
        <v>11548000</v>
      </c>
    </row>
    <row r="30" spans="1:5" ht="15.75" customHeight="1">
      <c r="A30" s="156"/>
      <c r="B30" s="110"/>
      <c r="C30" s="110"/>
      <c r="D30" s="187"/>
      <c r="E30" s="187"/>
    </row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  <mergeCell ref="H3:K3"/>
    <mergeCell ref="A19:E20"/>
    <mergeCell ref="A21:A27"/>
    <mergeCell ref="D29:D30"/>
    <mergeCell ref="E29:E3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N2025.T12</vt:lpstr>
      <vt:lpstr>N2025.T11</vt:lpstr>
      <vt:lpstr>N2025.T10</vt:lpstr>
      <vt:lpstr>N2025.T09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  <vt:lpstr>T13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</cp:lastModifiedBy>
  <dcterms:modified xsi:type="dcterms:W3CDTF">2025-12-15T02:39:02Z</dcterms:modified>
</cp:coreProperties>
</file>