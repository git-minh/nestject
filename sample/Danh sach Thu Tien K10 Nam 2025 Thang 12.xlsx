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BUSINESS\HỢP TÁC DỰ ÁN FIVICO\6. PHÒNG TRỌ, CHDV\[K10] C1-A18 PHẠM HÙNG, BÌNH CHÁNH\"/>
    </mc:Choice>
  </mc:AlternateContent>
  <bookViews>
    <workbookView xWindow="0" yWindow="0" windowWidth="23040" windowHeight="9252"/>
  </bookViews>
  <sheets>
    <sheet name="N2025.T12" sheetId="1" r:id="rId1"/>
    <sheet name=" N2025.T11" sheetId="2" r:id="rId2"/>
    <sheet name="N2025.T10" sheetId="3" r:id="rId3"/>
    <sheet name="N2025.T09" sheetId="4" r:id="rId4"/>
    <sheet name="T2" sheetId="5" state="hidden" r:id="rId5"/>
    <sheet name="T3" sheetId="6" state="hidden" r:id="rId6"/>
    <sheet name="T4" sheetId="7" state="hidden" r:id="rId7"/>
    <sheet name="T5" sheetId="8" state="hidden" r:id="rId8"/>
    <sheet name="T6" sheetId="9" state="hidden" r:id="rId9"/>
    <sheet name="T7" sheetId="10" state="hidden" r:id="rId10"/>
    <sheet name="T8" sheetId="11" state="hidden" r:id="rId11"/>
    <sheet name="T9" sheetId="12" state="hidden" r:id="rId12"/>
    <sheet name="T10" sheetId="13" state="hidden" r:id="rId13"/>
    <sheet name="T11" sheetId="14" state="hidden" r:id="rId14"/>
    <sheet name="T12" sheetId="15" state="hidden" r:id="rId15"/>
  </sheets>
  <calcPr calcId="152511"/>
</workbook>
</file>

<file path=xl/calcChain.xml><?xml version="1.0" encoding="utf-8"?>
<calcChain xmlns="http://schemas.openxmlformats.org/spreadsheetml/2006/main">
  <c r="C26" i="15" l="1"/>
  <c r="E26" i="15" s="1"/>
  <c r="R15" i="15"/>
  <c r="P15" i="15"/>
  <c r="C25" i="15" s="1"/>
  <c r="E25" i="15" s="1"/>
  <c r="O15" i="15"/>
  <c r="C27" i="15" s="1"/>
  <c r="E27" i="15" s="1"/>
  <c r="N15" i="15"/>
  <c r="G15" i="15"/>
  <c r="F15" i="15"/>
  <c r="C22" i="15" s="1"/>
  <c r="E15" i="15"/>
  <c r="K13" i="15"/>
  <c r="Q13" i="15" s="1"/>
  <c r="S13" i="15" s="1"/>
  <c r="K12" i="15"/>
  <c r="Q12" i="15" s="1"/>
  <c r="S12" i="15" s="1"/>
  <c r="K11" i="15"/>
  <c r="Q11" i="15" s="1"/>
  <c r="S11" i="15" s="1"/>
  <c r="Q10" i="15"/>
  <c r="S10" i="15" s="1"/>
  <c r="M10" i="15"/>
  <c r="K10" i="15"/>
  <c r="Q9" i="15"/>
  <c r="S9" i="15" s="1"/>
  <c r="M9" i="15"/>
  <c r="K9" i="15"/>
  <c r="Q8" i="15"/>
  <c r="S8" i="15" s="1"/>
  <c r="M8" i="15"/>
  <c r="K8" i="15"/>
  <c r="Q7" i="15"/>
  <c r="S7" i="15" s="1"/>
  <c r="M7" i="15"/>
  <c r="K7" i="15"/>
  <c r="Q6" i="15"/>
  <c r="S6" i="15" s="1"/>
  <c r="M6" i="15"/>
  <c r="K6" i="15"/>
  <c r="Q5" i="15"/>
  <c r="M5" i="15"/>
  <c r="M15" i="15" s="1"/>
  <c r="C24" i="15" s="1"/>
  <c r="E24" i="15" s="1"/>
  <c r="K5" i="15"/>
  <c r="C27" i="14"/>
  <c r="E27" i="14" s="1"/>
  <c r="C26" i="14"/>
  <c r="E26" i="14" s="1"/>
  <c r="R15" i="14"/>
  <c r="P15" i="14"/>
  <c r="C25" i="14" s="1"/>
  <c r="E25" i="14" s="1"/>
  <c r="O15" i="14"/>
  <c r="N15" i="14"/>
  <c r="M15" i="14"/>
  <c r="C24" i="14" s="1"/>
  <c r="E24" i="14" s="1"/>
  <c r="G15" i="14"/>
  <c r="F15" i="14"/>
  <c r="C22" i="14" s="1"/>
  <c r="E15" i="14"/>
  <c r="S13" i="14"/>
  <c r="K13" i="14"/>
  <c r="Q13" i="14" s="1"/>
  <c r="Q12" i="14"/>
  <c r="S12" i="14" s="1"/>
  <c r="K12" i="14"/>
  <c r="K11" i="14"/>
  <c r="Q11" i="14" s="1"/>
  <c r="S11" i="14" s="1"/>
  <c r="Q10" i="14"/>
  <c r="S10" i="14" s="1"/>
  <c r="M10" i="14"/>
  <c r="K10" i="14"/>
  <c r="Q9" i="14"/>
  <c r="S9" i="14" s="1"/>
  <c r="M9" i="14"/>
  <c r="K9" i="14"/>
  <c r="M8" i="14"/>
  <c r="K8" i="14"/>
  <c r="Q8" i="14" s="1"/>
  <c r="S8" i="14" s="1"/>
  <c r="M7" i="14"/>
  <c r="K7" i="14"/>
  <c r="Q6" i="14"/>
  <c r="S6" i="14" s="1"/>
  <c r="M6" i="14"/>
  <c r="K6" i="14"/>
  <c r="Q5" i="14"/>
  <c r="S5" i="14" s="1"/>
  <c r="M5" i="14"/>
  <c r="K5" i="14"/>
  <c r="C26" i="13"/>
  <c r="E26" i="13" s="1"/>
  <c r="C25" i="13"/>
  <c r="E25" i="13" s="1"/>
  <c r="C24" i="13"/>
  <c r="E24" i="13" s="1"/>
  <c r="C22" i="13"/>
  <c r="R15" i="13"/>
  <c r="P15" i="13"/>
  <c r="O15" i="13"/>
  <c r="C27" i="13" s="1"/>
  <c r="E27" i="13" s="1"/>
  <c r="N15" i="13"/>
  <c r="G15" i="13"/>
  <c r="F15" i="13"/>
  <c r="E15" i="13"/>
  <c r="K13" i="13"/>
  <c r="Q13" i="13" s="1"/>
  <c r="S13" i="13" s="1"/>
  <c r="K12" i="13"/>
  <c r="Q12" i="13" s="1"/>
  <c r="S12" i="13" s="1"/>
  <c r="K11" i="13"/>
  <c r="Q11" i="13" s="1"/>
  <c r="S11" i="13" s="1"/>
  <c r="M10" i="13"/>
  <c r="K10" i="13"/>
  <c r="Q10" i="13" s="1"/>
  <c r="S10" i="13" s="1"/>
  <c r="Q9" i="13"/>
  <c r="S9" i="13" s="1"/>
  <c r="M9" i="13"/>
  <c r="K9" i="13"/>
  <c r="Q8" i="13"/>
  <c r="S8" i="13" s="1"/>
  <c r="M8" i="13"/>
  <c r="K8" i="13"/>
  <c r="M7" i="13"/>
  <c r="K7" i="13"/>
  <c r="Q7" i="13" s="1"/>
  <c r="S7" i="13" s="1"/>
  <c r="M6" i="13"/>
  <c r="K6" i="13"/>
  <c r="Q6" i="13" s="1"/>
  <c r="S6" i="13" s="1"/>
  <c r="Q5" i="13"/>
  <c r="M5" i="13"/>
  <c r="M15" i="13" s="1"/>
  <c r="K5" i="13"/>
  <c r="K15" i="13" s="1"/>
  <c r="C23" i="13" s="1"/>
  <c r="E23" i="13" s="1"/>
  <c r="C27" i="12"/>
  <c r="E27" i="12" s="1"/>
  <c r="E26" i="12"/>
  <c r="C26" i="12"/>
  <c r="R15" i="12"/>
  <c r="P15" i="12"/>
  <c r="C25" i="12" s="1"/>
  <c r="E25" i="12" s="1"/>
  <c r="O15" i="12"/>
  <c r="N15" i="12"/>
  <c r="G15" i="12"/>
  <c r="F15" i="12"/>
  <c r="C22" i="12" s="1"/>
  <c r="E22" i="12" s="1"/>
  <c r="E15" i="12"/>
  <c r="S13" i="12"/>
  <c r="K13" i="12"/>
  <c r="Q13" i="12" s="1"/>
  <c r="S12" i="12"/>
  <c r="Q12" i="12"/>
  <c r="K12" i="12"/>
  <c r="Q11" i="12"/>
  <c r="S11" i="12" s="1"/>
  <c r="K11" i="12"/>
  <c r="M10" i="12"/>
  <c r="K10" i="12"/>
  <c r="Q10" i="12" s="1"/>
  <c r="S10" i="12" s="1"/>
  <c r="M9" i="12"/>
  <c r="Q9" i="12" s="1"/>
  <c r="S9" i="12" s="1"/>
  <c r="K9" i="12"/>
  <c r="M8" i="12"/>
  <c r="K8" i="12"/>
  <c r="K15" i="12" s="1"/>
  <c r="C23" i="12" s="1"/>
  <c r="E23" i="12" s="1"/>
  <c r="M7" i="12"/>
  <c r="K7" i="12"/>
  <c r="Q7" i="12" s="1"/>
  <c r="S7" i="12" s="1"/>
  <c r="Q6" i="12"/>
  <c r="S6" i="12" s="1"/>
  <c r="M6" i="12"/>
  <c r="K6" i="12"/>
  <c r="M5" i="12"/>
  <c r="K5" i="12"/>
  <c r="C27" i="11"/>
  <c r="E27" i="11" s="1"/>
  <c r="C26" i="11"/>
  <c r="E26" i="11" s="1"/>
  <c r="R15" i="11"/>
  <c r="P15" i="11"/>
  <c r="C25" i="11" s="1"/>
  <c r="E25" i="11" s="1"/>
  <c r="O15" i="11"/>
  <c r="N15" i="11"/>
  <c r="G15" i="11"/>
  <c r="F15" i="11"/>
  <c r="C22" i="11" s="1"/>
  <c r="E22" i="11" s="1"/>
  <c r="E15" i="11"/>
  <c r="Q13" i="11"/>
  <c r="S13" i="11" s="1"/>
  <c r="K13" i="11"/>
  <c r="Q12" i="11"/>
  <c r="S12" i="11" s="1"/>
  <c r="K12" i="11"/>
  <c r="S11" i="11"/>
  <c r="K11" i="11"/>
  <c r="Q11" i="11" s="1"/>
  <c r="S10" i="11"/>
  <c r="M10" i="11"/>
  <c r="K10" i="11"/>
  <c r="Q10" i="11" s="1"/>
  <c r="S9" i="11"/>
  <c r="M9" i="11"/>
  <c r="K9" i="11"/>
  <c r="Q9" i="11" s="1"/>
  <c r="M8" i="11"/>
  <c r="K8" i="11"/>
  <c r="Q8" i="11" s="1"/>
  <c r="S8" i="11" s="1"/>
  <c r="M7" i="11"/>
  <c r="K7" i="11"/>
  <c r="Q7" i="11" s="1"/>
  <c r="S7" i="11" s="1"/>
  <c r="S6" i="11"/>
  <c r="M6" i="11"/>
  <c r="K6" i="11"/>
  <c r="Q6" i="11" s="1"/>
  <c r="M5" i="11"/>
  <c r="M15" i="11" s="1"/>
  <c r="C24" i="11" s="1"/>
  <c r="E24" i="11" s="1"/>
  <c r="K5" i="11"/>
  <c r="K15" i="11" s="1"/>
  <c r="C23" i="11" s="1"/>
  <c r="E23" i="11" s="1"/>
  <c r="C27" i="10"/>
  <c r="E27" i="10" s="1"/>
  <c r="C26" i="10"/>
  <c r="E26" i="10" s="1"/>
  <c r="C22" i="10"/>
  <c r="R15" i="10"/>
  <c r="P15" i="10"/>
  <c r="C25" i="10" s="1"/>
  <c r="E25" i="10" s="1"/>
  <c r="O15" i="10"/>
  <c r="N15" i="10"/>
  <c r="G15" i="10"/>
  <c r="F15" i="10"/>
  <c r="E15" i="10"/>
  <c r="K13" i="10"/>
  <c r="Q13" i="10" s="1"/>
  <c r="S13" i="10" s="1"/>
  <c r="Q12" i="10"/>
  <c r="S12" i="10" s="1"/>
  <c r="K12" i="10"/>
  <c r="S11" i="10"/>
  <c r="K11" i="10"/>
  <c r="Q11" i="10" s="1"/>
  <c r="M10" i="10"/>
  <c r="K10" i="10"/>
  <c r="Q10" i="10" s="1"/>
  <c r="S10" i="10" s="1"/>
  <c r="Q9" i="10"/>
  <c r="S9" i="10" s="1"/>
  <c r="M9" i="10"/>
  <c r="K9" i="10"/>
  <c r="M8" i="10"/>
  <c r="Q8" i="10" s="1"/>
  <c r="S8" i="10" s="1"/>
  <c r="K8" i="10"/>
  <c r="M7" i="10"/>
  <c r="K7" i="10"/>
  <c r="Q7" i="10" s="1"/>
  <c r="S7" i="10" s="1"/>
  <c r="M6" i="10"/>
  <c r="M15" i="10" s="1"/>
  <c r="C24" i="10" s="1"/>
  <c r="E24" i="10" s="1"/>
  <c r="K6" i="10"/>
  <c r="M5" i="10"/>
  <c r="K5" i="10"/>
  <c r="K15" i="10" s="1"/>
  <c r="C23" i="10" s="1"/>
  <c r="E23" i="10" s="1"/>
  <c r="C26" i="9"/>
  <c r="E26" i="9" s="1"/>
  <c r="C25" i="9"/>
  <c r="E25" i="9" s="1"/>
  <c r="R15" i="9"/>
  <c r="P15" i="9"/>
  <c r="O15" i="9"/>
  <c r="C27" i="9" s="1"/>
  <c r="E27" i="9" s="1"/>
  <c r="N15" i="9"/>
  <c r="G15" i="9"/>
  <c r="F15" i="9"/>
  <c r="C22" i="9" s="1"/>
  <c r="E15" i="9"/>
  <c r="K13" i="9"/>
  <c r="Q13" i="9" s="1"/>
  <c r="S13" i="9" s="1"/>
  <c r="K12" i="9"/>
  <c r="Q12" i="9" s="1"/>
  <c r="S12" i="9" s="1"/>
  <c r="K11" i="9"/>
  <c r="Q11" i="9" s="1"/>
  <c r="S11" i="9" s="1"/>
  <c r="M10" i="9"/>
  <c r="K10" i="9"/>
  <c r="Q10" i="9" s="1"/>
  <c r="S10" i="9" s="1"/>
  <c r="M9" i="9"/>
  <c r="K9" i="9"/>
  <c r="Q9" i="9" s="1"/>
  <c r="S9" i="9" s="1"/>
  <c r="Q8" i="9"/>
  <c r="S8" i="9" s="1"/>
  <c r="M8" i="9"/>
  <c r="K8" i="9"/>
  <c r="Q7" i="9"/>
  <c r="S7" i="9" s="1"/>
  <c r="M7" i="9"/>
  <c r="K7" i="9"/>
  <c r="M6" i="9"/>
  <c r="K6" i="9"/>
  <c r="Q6" i="9" s="1"/>
  <c r="S6" i="9" s="1"/>
  <c r="M5" i="9"/>
  <c r="M15" i="9" s="1"/>
  <c r="C24" i="9" s="1"/>
  <c r="E24" i="9" s="1"/>
  <c r="K5" i="9"/>
  <c r="Q5" i="9" s="1"/>
  <c r="C27" i="8"/>
  <c r="E27" i="8" s="1"/>
  <c r="E26" i="8"/>
  <c r="C26" i="8"/>
  <c r="E22" i="8"/>
  <c r="R15" i="8"/>
  <c r="P15" i="8"/>
  <c r="C25" i="8" s="1"/>
  <c r="E25" i="8" s="1"/>
  <c r="O15" i="8"/>
  <c r="N15" i="8"/>
  <c r="G15" i="8"/>
  <c r="F15" i="8"/>
  <c r="C22" i="8" s="1"/>
  <c r="E15" i="8"/>
  <c r="S13" i="8"/>
  <c r="K13" i="8"/>
  <c r="Q13" i="8" s="1"/>
  <c r="S12" i="8"/>
  <c r="Q12" i="8"/>
  <c r="K12" i="8"/>
  <c r="Q11" i="8"/>
  <c r="S11" i="8" s="1"/>
  <c r="K11" i="8"/>
  <c r="M10" i="8"/>
  <c r="K10" i="8"/>
  <c r="Q10" i="8" s="1"/>
  <c r="S10" i="8" s="1"/>
  <c r="M9" i="8"/>
  <c r="K9" i="8"/>
  <c r="Q9" i="8" s="1"/>
  <c r="S9" i="8" s="1"/>
  <c r="Q8" i="8"/>
  <c r="S8" i="8" s="1"/>
  <c r="M8" i="8"/>
  <c r="K8" i="8"/>
  <c r="M7" i="8"/>
  <c r="Q7" i="8" s="1"/>
  <c r="S7" i="8" s="1"/>
  <c r="K7" i="8"/>
  <c r="Q6" i="8"/>
  <c r="S6" i="8" s="1"/>
  <c r="M6" i="8"/>
  <c r="K6" i="8"/>
  <c r="M5" i="8"/>
  <c r="M15" i="8" s="1"/>
  <c r="C24" i="8" s="1"/>
  <c r="E24" i="8" s="1"/>
  <c r="K5" i="8"/>
  <c r="Q5" i="8" s="1"/>
  <c r="C27" i="7"/>
  <c r="E27" i="7" s="1"/>
  <c r="C26" i="7"/>
  <c r="E26" i="7" s="1"/>
  <c r="E25" i="7"/>
  <c r="R15" i="7"/>
  <c r="P15" i="7"/>
  <c r="C25" i="7" s="1"/>
  <c r="O15" i="7"/>
  <c r="N15" i="7"/>
  <c r="G15" i="7"/>
  <c r="F15" i="7"/>
  <c r="C22" i="7" s="1"/>
  <c r="E22" i="7" s="1"/>
  <c r="E15" i="7"/>
  <c r="Q13" i="7"/>
  <c r="S13" i="7" s="1"/>
  <c r="K13" i="7"/>
  <c r="Q12" i="7"/>
  <c r="S12" i="7" s="1"/>
  <c r="K12" i="7"/>
  <c r="K15" i="7" s="1"/>
  <c r="C23" i="7" s="1"/>
  <c r="E23" i="7" s="1"/>
  <c r="S11" i="7"/>
  <c r="S15" i="7" s="1"/>
  <c r="K11" i="7"/>
  <c r="Q11" i="7" s="1"/>
  <c r="S10" i="7"/>
  <c r="Q10" i="7"/>
  <c r="M10" i="7"/>
  <c r="K10" i="7"/>
  <c r="S9" i="7"/>
  <c r="Q9" i="7"/>
  <c r="M9" i="7"/>
  <c r="K9" i="7"/>
  <c r="S8" i="7"/>
  <c r="Q8" i="7"/>
  <c r="M8" i="7"/>
  <c r="K8" i="7"/>
  <c r="S7" i="7"/>
  <c r="Q7" i="7"/>
  <c r="M7" i="7"/>
  <c r="K7" i="7"/>
  <c r="S6" i="7"/>
  <c r="Q6" i="7"/>
  <c r="M6" i="7"/>
  <c r="K6" i="7"/>
  <c r="S5" i="7"/>
  <c r="Q5" i="7"/>
  <c r="M5" i="7"/>
  <c r="M15" i="7" s="1"/>
  <c r="C24" i="7" s="1"/>
  <c r="E24" i="7" s="1"/>
  <c r="K5" i="7"/>
  <c r="C27" i="6"/>
  <c r="E27" i="6" s="1"/>
  <c r="C26" i="6"/>
  <c r="E26" i="6" s="1"/>
  <c r="C25" i="6"/>
  <c r="E25" i="6" s="1"/>
  <c r="C22" i="6"/>
  <c r="R15" i="6"/>
  <c r="P15" i="6"/>
  <c r="O15" i="6"/>
  <c r="N15" i="6"/>
  <c r="G15" i="6"/>
  <c r="F15" i="6"/>
  <c r="E15" i="6"/>
  <c r="S13" i="6"/>
  <c r="K13" i="6"/>
  <c r="Q13" i="6" s="1"/>
  <c r="Q12" i="6"/>
  <c r="S12" i="6" s="1"/>
  <c r="K12" i="6"/>
  <c r="S11" i="6"/>
  <c r="K11" i="6"/>
  <c r="Q11" i="6" s="1"/>
  <c r="M10" i="6"/>
  <c r="K10" i="6"/>
  <c r="Q10" i="6" s="1"/>
  <c r="S10" i="6" s="1"/>
  <c r="M9" i="6"/>
  <c r="K9" i="6"/>
  <c r="Q9" i="6" s="1"/>
  <c r="S9" i="6" s="1"/>
  <c r="Q8" i="6"/>
  <c r="S8" i="6" s="1"/>
  <c r="M8" i="6"/>
  <c r="K8" i="6"/>
  <c r="Q7" i="6"/>
  <c r="S7" i="6" s="1"/>
  <c r="M7" i="6"/>
  <c r="K7" i="6"/>
  <c r="M6" i="6"/>
  <c r="K6" i="6"/>
  <c r="Q6" i="6" s="1"/>
  <c r="S6" i="6" s="1"/>
  <c r="M5" i="6"/>
  <c r="M15" i="6" s="1"/>
  <c r="C24" i="6" s="1"/>
  <c r="E24" i="6" s="1"/>
  <c r="K5" i="6"/>
  <c r="Q5" i="6" s="1"/>
  <c r="C27" i="5"/>
  <c r="E27" i="5" s="1"/>
  <c r="C26" i="5"/>
  <c r="E26" i="5" s="1"/>
  <c r="C24" i="5"/>
  <c r="E24" i="5" s="1"/>
  <c r="R15" i="5"/>
  <c r="P15" i="5"/>
  <c r="C25" i="5" s="1"/>
  <c r="E25" i="5" s="1"/>
  <c r="O15" i="5"/>
  <c r="N15" i="5"/>
  <c r="G15" i="5"/>
  <c r="F15" i="5"/>
  <c r="C22" i="5" s="1"/>
  <c r="E15" i="5"/>
  <c r="K13" i="5"/>
  <c r="Q13" i="5" s="1"/>
  <c r="S13" i="5" s="1"/>
  <c r="Q12" i="5"/>
  <c r="S12" i="5" s="1"/>
  <c r="K12" i="5"/>
  <c r="K11" i="5"/>
  <c r="Q11" i="5" s="1"/>
  <c r="S11" i="5" s="1"/>
  <c r="M10" i="5"/>
  <c r="K10" i="5"/>
  <c r="Q10" i="5" s="1"/>
  <c r="S10" i="5" s="1"/>
  <c r="Q9" i="5"/>
  <c r="S9" i="5" s="1"/>
  <c r="M9" i="5"/>
  <c r="K9" i="5"/>
  <c r="Q8" i="5"/>
  <c r="S8" i="5" s="1"/>
  <c r="M8" i="5"/>
  <c r="K8" i="5"/>
  <c r="M7" i="5"/>
  <c r="K7" i="5"/>
  <c r="Q7" i="5" s="1"/>
  <c r="S7" i="5" s="1"/>
  <c r="M6" i="5"/>
  <c r="K6" i="5"/>
  <c r="Q6" i="5" s="1"/>
  <c r="S6" i="5" s="1"/>
  <c r="Q5" i="5"/>
  <c r="M5" i="5"/>
  <c r="M15" i="5" s="1"/>
  <c r="K5" i="5"/>
  <c r="D24" i="4"/>
  <c r="E23" i="4"/>
  <c r="E22" i="4"/>
  <c r="E21" i="4"/>
  <c r="C19" i="4"/>
  <c r="E19" i="4" s="1"/>
  <c r="E18" i="4"/>
  <c r="R10" i="4"/>
  <c r="P10" i="4"/>
  <c r="C22" i="4" s="1"/>
  <c r="O10" i="4"/>
  <c r="N10" i="4"/>
  <c r="K10" i="4"/>
  <c r="C16" i="4" s="1"/>
  <c r="E16" i="4" s="1"/>
  <c r="G10" i="4"/>
  <c r="F10" i="4"/>
  <c r="C15" i="4" s="1"/>
  <c r="E10" i="4"/>
  <c r="T9" i="4"/>
  <c r="M9" i="4"/>
  <c r="K9" i="4"/>
  <c r="Q9" i="4" s="1"/>
  <c r="S9" i="4" s="1"/>
  <c r="S8" i="4"/>
  <c r="T8" i="4" s="1"/>
  <c r="M8" i="4"/>
  <c r="Q8" i="4" s="1"/>
  <c r="K8" i="4"/>
  <c r="Q7" i="4"/>
  <c r="S7" i="4" s="1"/>
  <c r="T7" i="4" s="1"/>
  <c r="M7" i="4"/>
  <c r="K7" i="4"/>
  <c r="M6" i="4"/>
  <c r="K6" i="4"/>
  <c r="Q5" i="4"/>
  <c r="M5" i="4"/>
  <c r="M10" i="4" s="1"/>
  <c r="C17" i="4" s="1"/>
  <c r="E17" i="4" s="1"/>
  <c r="K5" i="4"/>
  <c r="D25" i="3"/>
  <c r="E24" i="3"/>
  <c r="E22" i="3"/>
  <c r="E21" i="3"/>
  <c r="C20" i="3"/>
  <c r="E20" i="3" s="1"/>
  <c r="C19" i="3"/>
  <c r="E19" i="3" s="1"/>
  <c r="C16" i="3"/>
  <c r="A14" i="3"/>
  <c r="R11" i="3"/>
  <c r="P11" i="3"/>
  <c r="C23" i="3" s="1"/>
  <c r="E23" i="3" s="1"/>
  <c r="O11" i="3"/>
  <c r="N11" i="3"/>
  <c r="M11" i="3"/>
  <c r="C18" i="3" s="1"/>
  <c r="E18" i="3" s="1"/>
  <c r="G11" i="3"/>
  <c r="F11" i="3"/>
  <c r="E11" i="3"/>
  <c r="M9" i="3"/>
  <c r="K9" i="3"/>
  <c r="Q9" i="3" s="1"/>
  <c r="S9" i="3" s="1"/>
  <c r="M8" i="3"/>
  <c r="K8" i="3"/>
  <c r="Q8" i="3" s="1"/>
  <c r="S8" i="3" s="1"/>
  <c r="M7" i="3"/>
  <c r="K7" i="3"/>
  <c r="Q7" i="3" s="1"/>
  <c r="S7" i="3" s="1"/>
  <c r="M6" i="3"/>
  <c r="K6" i="3"/>
  <c r="Q6" i="3" s="1"/>
  <c r="S6" i="3" s="1"/>
  <c r="M5" i="3"/>
  <c r="K5" i="3"/>
  <c r="K11" i="3" s="1"/>
  <c r="C17" i="3" s="1"/>
  <c r="E17" i="3" s="1"/>
  <c r="D24" i="2"/>
  <c r="E23" i="2"/>
  <c r="E21" i="2"/>
  <c r="E20" i="2"/>
  <c r="E18" i="2"/>
  <c r="A13" i="2"/>
  <c r="T10" i="2"/>
  <c r="R10" i="2"/>
  <c r="P10" i="2"/>
  <c r="C22" i="2" s="1"/>
  <c r="E22" i="2" s="1"/>
  <c r="O10" i="2"/>
  <c r="C19" i="2" s="1"/>
  <c r="E19" i="2" s="1"/>
  <c r="N10" i="2"/>
  <c r="M10" i="2"/>
  <c r="C17" i="2" s="1"/>
  <c r="E17" i="2" s="1"/>
  <c r="K10" i="2"/>
  <c r="C16" i="2" s="1"/>
  <c r="G10" i="2"/>
  <c r="F10" i="2"/>
  <c r="C15" i="2" s="1"/>
  <c r="E15" i="2" s="1"/>
  <c r="E10" i="2"/>
  <c r="M9" i="2"/>
  <c r="K9" i="2"/>
  <c r="Q9" i="2" s="1"/>
  <c r="S9" i="2" s="1"/>
  <c r="M8" i="2"/>
  <c r="K8" i="2"/>
  <c r="Q8" i="2" s="1"/>
  <c r="S8" i="2" s="1"/>
  <c r="M7" i="2"/>
  <c r="K7" i="2"/>
  <c r="Q7" i="2" s="1"/>
  <c r="S7" i="2" s="1"/>
  <c r="M6" i="2"/>
  <c r="K6" i="2"/>
  <c r="Q6" i="2" s="1"/>
  <c r="S6" i="2" s="1"/>
  <c r="M5" i="2"/>
  <c r="K5" i="2"/>
  <c r="Q5" i="2" s="1"/>
  <c r="E31" i="1"/>
  <c r="D24" i="1"/>
  <c r="E23" i="1"/>
  <c r="E21" i="1"/>
  <c r="E20" i="1"/>
  <c r="E18" i="1"/>
  <c r="A13" i="1"/>
  <c r="T10" i="1"/>
  <c r="R10" i="1"/>
  <c r="P10" i="1"/>
  <c r="C22" i="1" s="1"/>
  <c r="E22" i="1" s="1"/>
  <c r="O10" i="1"/>
  <c r="C19" i="1" s="1"/>
  <c r="E19" i="1" s="1"/>
  <c r="N10" i="1"/>
  <c r="K10" i="1"/>
  <c r="C16" i="1" s="1"/>
  <c r="E16" i="1" s="1"/>
  <c r="G10" i="1"/>
  <c r="F10" i="1"/>
  <c r="C15" i="1" s="1"/>
  <c r="E10" i="1"/>
  <c r="Q9" i="1"/>
  <c r="S9" i="1" s="1"/>
  <c r="M9" i="1"/>
  <c r="K9" i="1"/>
  <c r="Q8" i="1"/>
  <c r="S8" i="1" s="1"/>
  <c r="M8" i="1"/>
  <c r="K8" i="1"/>
  <c r="Q7" i="1"/>
  <c r="S7" i="1" s="1"/>
  <c r="E29" i="1" s="1"/>
  <c r="M7" i="1"/>
  <c r="K7" i="1"/>
  <c r="Q6" i="1"/>
  <c r="S6" i="1" s="1"/>
  <c r="M6" i="1"/>
  <c r="K6" i="1"/>
  <c r="Q5" i="1"/>
  <c r="Q10" i="1" s="1"/>
  <c r="M5" i="1"/>
  <c r="M10" i="1" s="1"/>
  <c r="C17" i="1" s="1"/>
  <c r="E17" i="1" s="1"/>
  <c r="K5" i="1"/>
  <c r="S5" i="2" l="1"/>
  <c r="S10" i="2" s="1"/>
  <c r="Q10" i="2"/>
  <c r="E22" i="5"/>
  <c r="E29" i="5" s="1"/>
  <c r="Q15" i="9"/>
  <c r="S5" i="9"/>
  <c r="S15" i="9" s="1"/>
  <c r="C24" i="1"/>
  <c r="E24" i="1" s="1"/>
  <c r="E15" i="1"/>
  <c r="C24" i="2"/>
  <c r="E24" i="2" s="1"/>
  <c r="E16" i="2"/>
  <c r="Q15" i="6"/>
  <c r="S5" i="6"/>
  <c r="S15" i="6" s="1"/>
  <c r="E22" i="9"/>
  <c r="C28" i="9"/>
  <c r="K15" i="6"/>
  <c r="C23" i="6" s="1"/>
  <c r="E23" i="6" s="1"/>
  <c r="S5" i="8"/>
  <c r="S15" i="8" s="1"/>
  <c r="Q15" i="8"/>
  <c r="Q7" i="14"/>
  <c r="S7" i="14" s="1"/>
  <c r="S15" i="14" s="1"/>
  <c r="K15" i="14"/>
  <c r="C23" i="14" s="1"/>
  <c r="E23" i="14" s="1"/>
  <c r="C28" i="14"/>
  <c r="E22" i="14"/>
  <c r="E29" i="14" s="1"/>
  <c r="S5" i="4"/>
  <c r="K15" i="5"/>
  <c r="C23" i="5" s="1"/>
  <c r="E23" i="5" s="1"/>
  <c r="E22" i="6"/>
  <c r="E29" i="6" s="1"/>
  <c r="C28" i="6"/>
  <c r="K15" i="8"/>
  <c r="C23" i="8" s="1"/>
  <c r="C28" i="10"/>
  <c r="E22" i="10"/>
  <c r="E29" i="10" s="1"/>
  <c r="E22" i="15"/>
  <c r="C25" i="3"/>
  <c r="E16" i="3"/>
  <c r="E25" i="3" s="1"/>
  <c r="E29" i="11"/>
  <c r="Q15" i="13"/>
  <c r="S5" i="13"/>
  <c r="S15" i="13" s="1"/>
  <c r="E22" i="13"/>
  <c r="E29" i="13" s="1"/>
  <c r="C28" i="13"/>
  <c r="S5" i="1"/>
  <c r="S10" i="1" s="1"/>
  <c r="Q5" i="3"/>
  <c r="E15" i="4"/>
  <c r="K15" i="9"/>
  <c r="C23" i="9" s="1"/>
  <c r="E23" i="9" s="1"/>
  <c r="Q5" i="10"/>
  <c r="M15" i="12"/>
  <c r="C24" i="12" s="1"/>
  <c r="E24" i="12" s="1"/>
  <c r="E29" i="12" s="1"/>
  <c r="Q5" i="12"/>
  <c r="Q8" i="12"/>
  <c r="S8" i="12" s="1"/>
  <c r="S5" i="5"/>
  <c r="S15" i="5" s="1"/>
  <c r="Q15" i="5"/>
  <c r="C28" i="11"/>
  <c r="Q6" i="4"/>
  <c r="S6" i="4" s="1"/>
  <c r="T6" i="4" s="1"/>
  <c r="E29" i="7"/>
  <c r="C28" i="7"/>
  <c r="Q6" i="10"/>
  <c r="S6" i="10" s="1"/>
  <c r="Q15" i="7"/>
  <c r="Q15" i="15"/>
  <c r="K15" i="15"/>
  <c r="C23" i="15" s="1"/>
  <c r="E23" i="15" s="1"/>
  <c r="S5" i="15"/>
  <c r="S15" i="15" s="1"/>
  <c r="Q5" i="11"/>
  <c r="Q15" i="11" l="1"/>
  <c r="S5" i="11"/>
  <c r="S15" i="11" s="1"/>
  <c r="E28" i="3"/>
  <c r="F25" i="3"/>
  <c r="E27" i="1"/>
  <c r="F24" i="1"/>
  <c r="Q15" i="14"/>
  <c r="E29" i="9"/>
  <c r="S5" i="3"/>
  <c r="S11" i="3" s="1"/>
  <c r="Q11" i="3"/>
  <c r="C28" i="15"/>
  <c r="E27" i="2"/>
  <c r="F24" i="2"/>
  <c r="C28" i="12"/>
  <c r="S10" i="4"/>
  <c r="T5" i="4"/>
  <c r="T10" i="4" s="1"/>
  <c r="C20" i="4" s="1"/>
  <c r="S5" i="10"/>
  <c r="S15" i="10" s="1"/>
  <c r="Q15" i="10"/>
  <c r="S5" i="12"/>
  <c r="S15" i="12" s="1"/>
  <c r="Q15" i="12"/>
  <c r="E29" i="15"/>
  <c r="E23" i="8"/>
  <c r="E29" i="8" s="1"/>
  <c r="C28" i="8"/>
  <c r="Q10" i="4"/>
  <c r="C28" i="5"/>
  <c r="E20" i="4" l="1"/>
  <c r="C24" i="4"/>
  <c r="E24" i="4" s="1"/>
  <c r="E27" i="4" s="1"/>
</calcChain>
</file>

<file path=xl/comments1.xml><?xml version="1.0" encoding="utf-8"?>
<comments xmlns="http://schemas.openxmlformats.org/spreadsheetml/2006/main">
  <authors>
    <author/>
  </authors>
  <commentList>
    <comment ref="O7" authorId="0" shapeId="0">
      <text>
        <r>
          <rPr>
            <sz val="11"/>
            <color theme="1"/>
            <rFont val="Arial"/>
            <scheme val="minor"/>
          </rPr>
          <t>Free 2 xe</t>
        </r>
      </text>
    </comment>
    <comment ref="O8" authorId="0" shapeId="0">
      <text>
        <r>
          <rPr>
            <sz val="11"/>
            <color theme="1"/>
            <rFont val="Arial"/>
            <scheme val="minor"/>
          </rPr>
          <t>Free 2 xe</t>
        </r>
      </text>
    </comment>
    <comment ref="O9" authorId="0" shapeId="0">
      <text>
        <r>
          <rPr>
            <sz val="11"/>
            <color theme="1"/>
            <rFont val="Arial"/>
            <scheme val="minor"/>
          </rPr>
          <t>Hiep Nguyen:
Free 1 xe</t>
        </r>
      </text>
    </comment>
  </commentList>
</comments>
</file>

<file path=xl/sharedStrings.xml><?xml version="1.0" encoding="utf-8"?>
<sst xmlns="http://schemas.openxmlformats.org/spreadsheetml/2006/main" count="874" uniqueCount="123">
  <si>
    <t>K10: C1-A18 PHẠM HÙNG, BÌNH CHÁNH</t>
  </si>
  <si>
    <t xml:space="preserve">PHÒNG </t>
  </si>
  <si>
    <t>TÊN</t>
  </si>
  <si>
    <t>SỐ ĐIỆN THOẠI</t>
  </si>
  <si>
    <t>THỜI HẠN HỢP ĐỒNG</t>
  </si>
  <si>
    <t>TIỀN CỌC</t>
  </si>
  <si>
    <t>GIÁ THUÊ PHÒNG</t>
  </si>
  <si>
    <t>SỐ NGƯỜI Ở</t>
  </si>
  <si>
    <t xml:space="preserve">ĐIỆN </t>
  </si>
  <si>
    <t>NƯỚC</t>
  </si>
  <si>
    <t>WIFI</t>
  </si>
  <si>
    <t>GIỮ XE</t>
  </si>
  <si>
    <t>DỊCH VỤ</t>
  </si>
  <si>
    <t>TỔNG THU</t>
  </si>
  <si>
    <t>HỖ TRỢ</t>
  </si>
  <si>
    <t>THỰC THU</t>
  </si>
  <si>
    <t>THỰC THU
(ĐIỀU CHỈNH)</t>
  </si>
  <si>
    <t>GHI CHÚ</t>
  </si>
  <si>
    <t>SỐ CŨ</t>
  </si>
  <si>
    <t>SỐ MỚI</t>
  </si>
  <si>
    <t>ĐƠN GIÁ/ 1kWh</t>
  </si>
  <si>
    <t>THÀNH TIỀN</t>
  </si>
  <si>
    <t>ĐƠN GIÁ/ 1N</t>
  </si>
  <si>
    <t>T01</t>
  </si>
  <si>
    <t>Nguyễn Bảo Khanh</t>
  </si>
  <si>
    <t>1/8/2025 - 1/8/2026</t>
  </si>
  <si>
    <t>Đã nhận ck 01/12</t>
  </si>
  <si>
    <t>Huỳnh Thị Tường Vy</t>
  </si>
  <si>
    <t>1/10/2024 - 1/10/2025</t>
  </si>
  <si>
    <t>Đã nhận ck 02/12</t>
  </si>
  <si>
    <t>Nguyễn Đức Nghĩa</t>
  </si>
  <si>
    <t>1/3/2025 - 1/3/2026</t>
  </si>
  <si>
    <t>Anh Là thu TM</t>
  </si>
  <si>
    <t>Nguyễn Phú Cường</t>
  </si>
  <si>
    <t>1/4/2025 - 1/4/2026</t>
  </si>
  <si>
    <t>Free 2 xe
Đã nhận ck 01/12</t>
  </si>
  <si>
    <t>Nguyễn Khánh Châu</t>
  </si>
  <si>
    <t>1/10/2025 - 1/4/2026</t>
  </si>
  <si>
    <t>Free 1 xe
Đã nhận ck 02/12</t>
  </si>
  <si>
    <t>BÁO CÁO TÀI CHÍNH TRONG THÁNG</t>
  </si>
  <si>
    <t>CHI PHÍ MẶC ĐỊNH</t>
  </si>
  <si>
    <t>PHÂN LOẠI</t>
  </si>
  <si>
    <t>DOANH THU</t>
  </si>
  <si>
    <t>CHI PHÍ</t>
  </si>
  <si>
    <t>LỢI NHUẬN</t>
  </si>
  <si>
    <t>Thuê nhà
(Trần Tường Sang
200515536 VPBank)</t>
  </si>
  <si>
    <t>Đã tt 5/12</t>
  </si>
  <si>
    <t>Điện HCMC
(Trần Tường Sang
PE15000204312)</t>
  </si>
  <si>
    <t>Đã tt 8/12</t>
  </si>
  <si>
    <t>Nước (15/000014)
(Phạm Hoàng Giang
19829999 Eximbank)</t>
  </si>
  <si>
    <t>Đã tt 11/12</t>
  </si>
  <si>
    <t>Internet Viettel
(t008_gftth_huynq1060)</t>
  </si>
  <si>
    <t>Bãi xe</t>
  </si>
  <si>
    <t>Thu khác/ Điều chỉnh</t>
  </si>
  <si>
    <t>Chi phí quản lý</t>
  </si>
  <si>
    <t>Dịch vụ vệ sinh</t>
  </si>
  <si>
    <t>Công an</t>
  </si>
  <si>
    <t>Tổng</t>
  </si>
  <si>
    <t>VỐN SANG NHƯỢNG BAN ĐẦU</t>
  </si>
  <si>
    <t>Anh Là chuyển Hiệp</t>
  </si>
  <si>
    <t>Anh Là còn thiếu</t>
  </si>
  <si>
    <t>Hiệp chuyển anh Là
(Chốt)</t>
  </si>
  <si>
    <t>Đã nhận ck 01/11</t>
  </si>
  <si>
    <t>Đã nhận ck 02/11</t>
  </si>
  <si>
    <t>Đã nhận ck 03/11</t>
  </si>
  <si>
    <t>Đã tt 05/11</t>
  </si>
  <si>
    <t>Điện HCMC
(Trần Tường Sang
(PE15000204312)</t>
  </si>
  <si>
    <t>Đã tt 11/11</t>
  </si>
  <si>
    <t>Đã tt 14/11</t>
  </si>
  <si>
    <t>K10: A18 PHẠM HÙNG, BÌNH CHÁNH</t>
  </si>
  <si>
    <t>ĐƠN GIÁ/1kWh</t>
  </si>
  <si>
    <t>ĐƠN GIÁ/1N</t>
  </si>
  <si>
    <t>0905.955.479</t>
  </si>
  <si>
    <t>Đã nhận ck 01/10</t>
  </si>
  <si>
    <t>0329.337.232</t>
  </si>
  <si>
    <t>0927.786.374</t>
  </si>
  <si>
    <t>Anh Là thu TM =&gt; đưa Hiệp 11/10</t>
  </si>
  <si>
    <t>0968.954.883</t>
  </si>
  <si>
    <t>0938.772.212</t>
  </si>
  <si>
    <t>TỔNG</t>
  </si>
  <si>
    <t>Đã tt 05/10</t>
  </si>
  <si>
    <t>Đã tt 09/10</t>
  </si>
  <si>
    <t>Đã tt 11/10</t>
  </si>
  <si>
    <t>Đã tt 15/10</t>
  </si>
  <si>
    <t>ok</t>
  </si>
  <si>
    <t>Công An</t>
  </si>
  <si>
    <t>STK NHẬN THANH TOÁN</t>
  </si>
  <si>
    <t>Đoàn Thị Hồng 9297997979 Ngân hàng Lpbank</t>
  </si>
  <si>
    <t>Đã nhận ck 01/09</t>
  </si>
  <si>
    <t>Đã nhận ck 03/09</t>
  </si>
  <si>
    <t>Anh Là nhận TM</t>
  </si>
  <si>
    <t>Đã nhận ck 02/09</t>
  </si>
  <si>
    <t>La Thị Thúy Đào</t>
  </si>
  <si>
    <t>0985.740.457</t>
  </si>
  <si>
    <t>1/12/2024 - 1/12/2025</t>
  </si>
  <si>
    <t>Thực thu 4.646.000
Khách mới, ko thu full tiền nước và dv
Nhận cọc 5tr1 trừ 80% hoa hồng</t>
  </si>
  <si>
    <t>Đã tt 06/09</t>
  </si>
  <si>
    <t>Điện (PE15000204312)</t>
  </si>
  <si>
    <t>Anh là tt</t>
  </si>
  <si>
    <t>Anh Là tt</t>
  </si>
  <si>
    <t>Internet</t>
  </si>
  <si>
    <t>CHI NHÁNH 10: A18 PHẠM HÙNG, BÌNH CHÁNH</t>
  </si>
  <si>
    <t>Trần Phạm Việt Thùy</t>
  </si>
  <si>
    <t>0903.011.443</t>
  </si>
  <si>
    <t>Hồ Phương Anh</t>
  </si>
  <si>
    <t>0833.085.720</t>
  </si>
  <si>
    <t>Nguyễn Hồng Ngọc</t>
  </si>
  <si>
    <t>0931.939.025</t>
  </si>
  <si>
    <t>Nguyễn Phương Thảo</t>
  </si>
  <si>
    <t>0908.977.961</t>
  </si>
  <si>
    <t>1/10/2024 - 1/4/2025</t>
  </si>
  <si>
    <t>Nhà</t>
  </si>
  <si>
    <t>Điện</t>
  </si>
  <si>
    <t>Nước</t>
  </si>
  <si>
    <t>Dịch vụ vệ sinh (lương vệ sinh)</t>
  </si>
  <si>
    <t>Công An Khu Vực</t>
  </si>
  <si>
    <t>LỢI NHUẬN SAU CHI PHÍ MẶC ĐỊNH</t>
  </si>
  <si>
    <t>Hủy cọc trả phòng</t>
  </si>
  <si>
    <t>1/4 trả phòng.Khách đang nhượng hd</t>
  </si>
  <si>
    <t>Lê Tâm Như</t>
  </si>
  <si>
    <t>0911.746.173</t>
  </si>
  <si>
    <t>Free 2 xe</t>
  </si>
  <si>
    <t>Để 1 xe bên bãi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</si>
</sst>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??_);_(@_)"/>
    <numFmt numFmtId="165" formatCode="#,##0\ [$đ-42A]"/>
    <numFmt numFmtId="166" formatCode="00000"/>
  </numFmts>
  <fonts count="27">
    <font>
      <sz val="11"/>
      <color theme="1"/>
      <name val="Arial"/>
      <scheme val="minor"/>
    </font>
    <font>
      <b/>
      <sz val="14"/>
      <color theme="1"/>
      <name val="Times New Roman"/>
    </font>
    <font>
      <sz val="11"/>
      <name val="Arial"/>
    </font>
    <font>
      <sz val="11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sz val="11"/>
      <color rgb="FF000000"/>
      <name val="&quot;Times New Roman&quot;"/>
    </font>
    <font>
      <sz val="11"/>
      <color theme="1"/>
      <name val="Times New Roman"/>
    </font>
    <font>
      <sz val="11"/>
      <color rgb="FF0000FF"/>
      <name val="Times New Roman"/>
    </font>
    <font>
      <sz val="11"/>
      <color rgb="FF0000FF"/>
      <name val="&quot;Times New Roman&quot;"/>
    </font>
    <font>
      <sz val="11"/>
      <color rgb="FFFF0000"/>
      <name val="Times New Roman"/>
    </font>
    <font>
      <b/>
      <sz val="11"/>
      <color theme="1"/>
      <name val="Times New Roman"/>
    </font>
    <font>
      <b/>
      <sz val="11"/>
      <color rgb="FFFF0000"/>
      <name val="Times New Roman"/>
    </font>
    <font>
      <sz val="11"/>
      <color rgb="FF000000"/>
      <name val="Times New Roman"/>
    </font>
    <font>
      <b/>
      <sz val="11"/>
      <color rgb="FF0000FF"/>
      <name val="Times New Roman"/>
    </font>
    <font>
      <sz val="11"/>
      <color theme="1"/>
      <name val="Calibri"/>
    </font>
    <font>
      <sz val="11"/>
      <color rgb="FFFF0000"/>
      <name val="Times New Roman"/>
    </font>
    <font>
      <sz val="11"/>
      <color rgb="FF0000FF"/>
      <name val="Times New Roman"/>
    </font>
    <font>
      <b/>
      <sz val="11"/>
      <color rgb="FFFF0000"/>
      <name val="Times New Roman"/>
    </font>
    <font>
      <sz val="11"/>
      <color rgb="FF000000"/>
      <name val="Times New Roman"/>
    </font>
    <font>
      <b/>
      <sz val="12"/>
      <color theme="1"/>
      <name val="Times New Roman"/>
    </font>
    <font>
      <b/>
      <sz val="12"/>
      <color rgb="FFFF0000"/>
      <name val="Times New Roman"/>
    </font>
    <font>
      <sz val="11"/>
      <color theme="1"/>
      <name val="Arial"/>
    </font>
    <font>
      <sz val="13"/>
      <color theme="1"/>
      <name val="Times New Roman"/>
    </font>
    <font>
      <b/>
      <sz val="13"/>
      <color rgb="FFFF0000"/>
      <name val="Times New Roman"/>
    </font>
    <font>
      <b/>
      <sz val="16"/>
      <color theme="1"/>
      <name val="Calibri"/>
    </font>
    <font>
      <b/>
      <sz val="11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7C80"/>
        <bgColor rgb="FFFF7C8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A1E0F9"/>
        <bgColor rgb="FFA1E0F9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</fills>
  <borders count="5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92">
    <xf numFmtId="0" fontId="0" fillId="0" borderId="0" xfId="0" applyFont="1" applyAlignment="1"/>
    <xf numFmtId="0" fontId="3" fillId="0" borderId="0" xfId="0" applyFont="1"/>
    <xf numFmtId="0" fontId="5" fillId="0" borderId="0" xfId="0" applyFont="1"/>
    <xf numFmtId="164" fontId="4" fillId="3" borderId="12" xfId="0" applyNumberFormat="1" applyFont="1" applyFill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/>
    </xf>
    <xf numFmtId="0" fontId="6" fillId="0" borderId="6" xfId="0" applyFont="1" applyBorder="1" applyAlignment="1"/>
    <xf numFmtId="3" fontId="6" fillId="4" borderId="11" xfId="0" applyNumberFormat="1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4" fontId="7" fillId="4" borderId="12" xfId="0" applyNumberFormat="1" applyFont="1" applyFill="1" applyBorder="1"/>
    <xf numFmtId="0" fontId="6" fillId="4" borderId="6" xfId="0" applyFont="1" applyFill="1" applyBorder="1" applyAlignment="1">
      <alignment horizontal="right"/>
    </xf>
    <xf numFmtId="0" fontId="6" fillId="4" borderId="6" xfId="0" applyFont="1" applyFill="1" applyBorder="1" applyAlignment="1"/>
    <xf numFmtId="164" fontId="7" fillId="4" borderId="12" xfId="0" applyNumberFormat="1" applyFont="1" applyFill="1" applyBorder="1" applyAlignment="1"/>
    <xf numFmtId="164" fontId="7" fillId="4" borderId="12" xfId="0" applyNumberFormat="1" applyFont="1" applyFill="1" applyBorder="1" applyAlignment="1">
      <alignment horizontal="right"/>
    </xf>
    <xf numFmtId="164" fontId="7" fillId="5" borderId="12" xfId="0" applyNumberFormat="1" applyFont="1" applyFill="1" applyBorder="1"/>
    <xf numFmtId="164" fontId="8" fillId="5" borderId="12" xfId="0" applyNumberFormat="1" applyFont="1" applyFill="1" applyBorder="1" applyAlignment="1">
      <alignment horizontal="left"/>
    </xf>
    <xf numFmtId="0" fontId="9" fillId="5" borderId="6" xfId="0" applyFont="1" applyFill="1" applyBorder="1" applyAlignment="1">
      <alignment horizontal="left" vertical="center"/>
    </xf>
    <xf numFmtId="0" fontId="6" fillId="0" borderId="12" xfId="0" applyFont="1" applyBorder="1" applyAlignment="1"/>
    <xf numFmtId="3" fontId="6" fillId="4" borderId="12" xfId="0" applyNumberFormat="1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right"/>
    </xf>
    <xf numFmtId="164" fontId="7" fillId="6" borderId="12" xfId="0" applyNumberFormat="1" applyFont="1" applyFill="1" applyBorder="1" applyAlignment="1">
      <alignment horizontal="right"/>
    </xf>
    <xf numFmtId="164" fontId="7" fillId="6" borderId="12" xfId="0" applyNumberFormat="1" applyFont="1" applyFill="1" applyBorder="1" applyAlignment="1"/>
    <xf numFmtId="164" fontId="7" fillId="6" borderId="12" xfId="0" applyNumberFormat="1" applyFont="1" applyFill="1" applyBorder="1"/>
    <xf numFmtId="164" fontId="8" fillId="6" borderId="12" xfId="0" applyNumberFormat="1" applyFont="1" applyFill="1" applyBorder="1"/>
    <xf numFmtId="164" fontId="8" fillId="6" borderId="12" xfId="0" applyNumberFormat="1" applyFont="1" applyFill="1" applyBorder="1" applyAlignment="1">
      <alignment horizontal="left"/>
    </xf>
    <xf numFmtId="0" fontId="9" fillId="4" borderId="6" xfId="0" applyFont="1" applyFill="1" applyBorder="1" applyAlignment="1">
      <alignment horizontal="left" vertical="center"/>
    </xf>
    <xf numFmtId="164" fontId="10" fillId="5" borderId="12" xfId="0" applyNumberFormat="1" applyFont="1" applyFill="1" applyBorder="1" applyAlignment="1">
      <alignment horizontal="left"/>
    </xf>
    <xf numFmtId="164" fontId="11" fillId="2" borderId="12" xfId="0" applyNumberFormat="1" applyFont="1" applyFill="1" applyBorder="1"/>
    <xf numFmtId="49" fontId="12" fillId="2" borderId="12" xfId="0" applyNumberFormat="1" applyFont="1" applyFill="1" applyBorder="1"/>
    <xf numFmtId="14" fontId="11" fillId="2" borderId="12" xfId="0" applyNumberFormat="1" applyFont="1" applyFill="1" applyBorder="1"/>
    <xf numFmtId="164" fontId="11" fillId="2" borderId="12" xfId="0" applyNumberFormat="1" applyFont="1" applyFill="1" applyBorder="1" applyAlignment="1">
      <alignment horizontal="right"/>
    </xf>
    <xf numFmtId="1" fontId="11" fillId="2" borderId="12" xfId="0" applyNumberFormat="1" applyFont="1" applyFill="1" applyBorder="1"/>
    <xf numFmtId="0" fontId="3" fillId="0" borderId="0" xfId="0" applyFont="1" applyAlignment="1">
      <alignment vertical="center"/>
    </xf>
    <xf numFmtId="164" fontId="11" fillId="0" borderId="12" xfId="0" applyNumberFormat="1" applyFont="1" applyBorder="1" applyAlignment="1">
      <alignment horizontal="center"/>
    </xf>
    <xf numFmtId="0" fontId="7" fillId="5" borderId="12" xfId="0" applyFont="1" applyFill="1" applyBorder="1" applyAlignment="1">
      <alignment wrapText="1"/>
    </xf>
    <xf numFmtId="164" fontId="7" fillId="5" borderId="12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5" borderId="12" xfId="0" applyFont="1" applyFill="1" applyBorder="1" applyAlignment="1"/>
    <xf numFmtId="164" fontId="7" fillId="5" borderId="12" xfId="0" applyNumberFormat="1" applyFont="1" applyFill="1" applyBorder="1" applyAlignment="1">
      <alignment vertical="center"/>
    </xf>
    <xf numFmtId="0" fontId="7" fillId="0" borderId="0" xfId="0" applyFont="1" applyAlignment="1">
      <alignment wrapText="1"/>
    </xf>
    <xf numFmtId="164" fontId="13" fillId="5" borderId="12" xfId="0" applyNumberFormat="1" applyFont="1" applyFill="1" applyBorder="1" applyAlignment="1">
      <alignment vertical="center"/>
    </xf>
    <xf numFmtId="0" fontId="7" fillId="5" borderId="12" xfId="0" applyFont="1" applyFill="1" applyBorder="1" applyAlignment="1">
      <alignment wrapText="1"/>
    </xf>
    <xf numFmtId="0" fontId="7" fillId="5" borderId="12" xfId="0" applyFont="1" applyFill="1" applyBorder="1"/>
    <xf numFmtId="0" fontId="3" fillId="0" borderId="0" xfId="0" applyFont="1" applyAlignment="1">
      <alignment vertical="center"/>
    </xf>
    <xf numFmtId="164" fontId="7" fillId="7" borderId="12" xfId="0" applyNumberFormat="1" applyFont="1" applyFill="1" applyBorder="1" applyAlignment="1"/>
    <xf numFmtId="164" fontId="7" fillId="7" borderId="12" xfId="0" applyNumberFormat="1" applyFont="1" applyFill="1" applyBorder="1" applyAlignment="1">
      <alignment vertical="center"/>
    </xf>
    <xf numFmtId="164" fontId="7" fillId="7" borderId="12" xfId="0" applyNumberFormat="1" applyFont="1" applyFill="1" applyBorder="1" applyAlignment="1">
      <alignment vertical="center"/>
    </xf>
    <xf numFmtId="164" fontId="11" fillId="2" borderId="12" xfId="0" applyNumberFormat="1" applyFont="1" applyFill="1" applyBorder="1" applyAlignment="1">
      <alignment vertical="center"/>
    </xf>
    <xf numFmtId="10" fontId="14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/>
    </xf>
    <xf numFmtId="0" fontId="15" fillId="0" borderId="0" xfId="0" applyFont="1" applyAlignment="1"/>
    <xf numFmtId="10" fontId="14" fillId="0" borderId="0" xfId="0" applyNumberFormat="1" applyFont="1" applyAlignment="1">
      <alignment horizontal="right"/>
    </xf>
    <xf numFmtId="165" fontId="16" fillId="0" borderId="0" xfId="0" applyNumberFormat="1" applyFont="1" applyAlignment="1"/>
    <xf numFmtId="0" fontId="16" fillId="0" borderId="0" xfId="0" applyFont="1" applyAlignment="1"/>
    <xf numFmtId="165" fontId="17" fillId="0" borderId="0" xfId="0" applyNumberFormat="1" applyFont="1" applyAlignment="1"/>
    <xf numFmtId="0" fontId="17" fillId="0" borderId="0" xfId="0" applyFont="1" applyAlignment="1"/>
    <xf numFmtId="0" fontId="18" fillId="0" borderId="0" xfId="0" applyFont="1" applyAlignment="1">
      <alignment horizontal="center"/>
    </xf>
    <xf numFmtId="165" fontId="18" fillId="0" borderId="0" xfId="0" applyNumberFormat="1" applyFont="1" applyAlignment="1">
      <alignment vertical="center"/>
    </xf>
    <xf numFmtId="0" fontId="18" fillId="0" borderId="0" xfId="0" applyFont="1" applyAlignment="1"/>
    <xf numFmtId="0" fontId="8" fillId="5" borderId="12" xfId="0" applyFont="1" applyFill="1" applyBorder="1" applyAlignment="1"/>
    <xf numFmtId="0" fontId="6" fillId="0" borderId="12" xfId="0" applyFont="1" applyBorder="1" applyAlignment="1"/>
    <xf numFmtId="0" fontId="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7" fillId="0" borderId="0" xfId="0" applyFont="1"/>
    <xf numFmtId="164" fontId="4" fillId="3" borderId="12" xfId="0" applyNumberFormat="1" applyFont="1" applyFill="1" applyBorder="1" applyAlignment="1">
      <alignment horizontal="center" vertical="center"/>
    </xf>
    <xf numFmtId="164" fontId="7" fillId="6" borderId="12" xfId="0" applyNumberFormat="1" applyFont="1" applyFill="1" applyBorder="1" applyAlignment="1">
      <alignment horizontal="center"/>
    </xf>
    <xf numFmtId="164" fontId="7" fillId="0" borderId="12" xfId="0" applyNumberFormat="1" applyFont="1" applyBorder="1"/>
    <xf numFmtId="164" fontId="7" fillId="4" borderId="12" xfId="0" applyNumberFormat="1" applyFont="1" applyFill="1" applyBorder="1" applyAlignment="1">
      <alignment horizontal="center"/>
    </xf>
    <xf numFmtId="14" fontId="7" fillId="4" borderId="12" xfId="0" applyNumberFormat="1" applyFont="1" applyFill="1" applyBorder="1" applyAlignment="1">
      <alignment horizontal="center"/>
    </xf>
    <xf numFmtId="1" fontId="7" fillId="4" borderId="12" xfId="0" applyNumberFormat="1" applyFont="1" applyFill="1" applyBorder="1"/>
    <xf numFmtId="0" fontId="8" fillId="4" borderId="12" xfId="0" applyFont="1" applyFill="1" applyBorder="1"/>
    <xf numFmtId="166" fontId="7" fillId="6" borderId="12" xfId="0" applyNumberFormat="1" applyFont="1" applyFill="1" applyBorder="1" applyAlignment="1">
      <alignment horizontal="center"/>
    </xf>
    <xf numFmtId="14" fontId="7" fillId="6" borderId="12" xfId="0" applyNumberFormat="1" applyFont="1" applyFill="1" applyBorder="1" applyAlignment="1">
      <alignment horizontal="center"/>
    </xf>
    <xf numFmtId="1" fontId="7" fillId="6" borderId="12" xfId="0" applyNumberFormat="1" applyFont="1" applyFill="1" applyBorder="1"/>
    <xf numFmtId="164" fontId="10" fillId="6" borderId="12" xfId="0" applyNumberFormat="1" applyFont="1" applyFill="1" applyBorder="1"/>
    <xf numFmtId="0" fontId="10" fillId="6" borderId="12" xfId="0" applyFont="1" applyFill="1" applyBorder="1" applyAlignment="1"/>
    <xf numFmtId="0" fontId="7" fillId="6" borderId="12" xfId="0" applyFont="1" applyFill="1" applyBorder="1"/>
    <xf numFmtId="164" fontId="20" fillId="2" borderId="12" xfId="0" applyNumberFormat="1" applyFont="1" applyFill="1" applyBorder="1"/>
    <xf numFmtId="164" fontId="21" fillId="2" borderId="12" xfId="0" applyNumberFormat="1" applyFont="1" applyFill="1" applyBorder="1"/>
    <xf numFmtId="14" fontId="20" fillId="2" borderId="12" xfId="0" applyNumberFormat="1" applyFont="1" applyFill="1" applyBorder="1"/>
    <xf numFmtId="164" fontId="20" fillId="2" borderId="12" xfId="0" applyNumberFormat="1" applyFont="1" applyFill="1" applyBorder="1" applyAlignment="1">
      <alignment horizontal="right"/>
    </xf>
    <xf numFmtId="1" fontId="20" fillId="2" borderId="12" xfId="0" applyNumberFormat="1" applyFont="1" applyFill="1" applyBorder="1"/>
    <xf numFmtId="0" fontId="20" fillId="2" borderId="12" xfId="0" applyFont="1" applyFill="1" applyBorder="1"/>
    <xf numFmtId="0" fontId="20" fillId="0" borderId="0" xfId="0" applyFont="1"/>
    <xf numFmtId="0" fontId="7" fillId="5" borderId="12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8" borderId="12" xfId="0" applyFont="1" applyFill="1" applyBorder="1"/>
    <xf numFmtId="164" fontId="7" fillId="8" borderId="12" xfId="0" applyNumberFormat="1" applyFont="1" applyFill="1" applyBorder="1" applyAlignment="1">
      <alignment vertical="center"/>
    </xf>
    <xf numFmtId="10" fontId="14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right"/>
    </xf>
    <xf numFmtId="0" fontId="15" fillId="0" borderId="0" xfId="0" applyFont="1"/>
    <xf numFmtId="0" fontId="22" fillId="0" borderId="0" xfId="0" applyFont="1" applyAlignment="1"/>
    <xf numFmtId="164" fontId="8" fillId="4" borderId="12" xfId="0" applyNumberFormat="1" applyFont="1" applyFill="1" applyBorder="1" applyAlignment="1">
      <alignment horizontal="left"/>
    </xf>
    <xf numFmtId="164" fontId="10" fillId="6" borderId="12" xfId="0" applyNumberFormat="1" applyFont="1" applyFill="1" applyBorder="1" applyAlignment="1">
      <alignment horizontal="left"/>
    </xf>
    <xf numFmtId="164" fontId="10" fillId="0" borderId="12" xfId="0" applyNumberFormat="1" applyFont="1" applyBorder="1"/>
    <xf numFmtId="164" fontId="10" fillId="6" borderId="12" xfId="0" applyNumberFormat="1" applyFont="1" applyFill="1" applyBorder="1" applyAlignment="1">
      <alignment horizontal="center"/>
    </xf>
    <xf numFmtId="14" fontId="10" fillId="6" borderId="12" xfId="0" applyNumberFormat="1" applyFont="1" applyFill="1" applyBorder="1" applyAlignment="1">
      <alignment horizontal="center"/>
    </xf>
    <xf numFmtId="1" fontId="7" fillId="6" borderId="12" xfId="0" applyNumberFormat="1" applyFont="1" applyFill="1" applyBorder="1" applyAlignment="1"/>
    <xf numFmtId="164" fontId="12" fillId="2" borderId="12" xfId="0" applyNumberFormat="1" applyFont="1" applyFill="1" applyBorder="1"/>
    <xf numFmtId="164" fontId="7" fillId="5" borderId="12" xfId="0" applyNumberFormat="1" applyFont="1" applyFill="1" applyBorder="1" applyAlignment="1"/>
    <xf numFmtId="164" fontId="7" fillId="0" borderId="12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64" fontId="7" fillId="0" borderId="12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164" fontId="7" fillId="5" borderId="12" xfId="0" applyNumberFormat="1" applyFont="1" applyFill="1" applyBorder="1" applyAlignment="1"/>
    <xf numFmtId="164" fontId="7" fillId="5" borderId="12" xfId="0" applyNumberFormat="1" applyFont="1" applyFill="1" applyBorder="1" applyAlignment="1"/>
    <xf numFmtId="164" fontId="7" fillId="9" borderId="12" xfId="0" applyNumberFormat="1" applyFont="1" applyFill="1" applyBorder="1" applyAlignment="1"/>
    <xf numFmtId="164" fontId="11" fillId="3" borderId="27" xfId="0" applyNumberFormat="1" applyFont="1" applyFill="1" applyBorder="1" applyAlignment="1">
      <alignment horizontal="center" vertical="center"/>
    </xf>
    <xf numFmtId="164" fontId="11" fillId="3" borderId="28" xfId="0" applyNumberFormat="1" applyFont="1" applyFill="1" applyBorder="1" applyAlignment="1">
      <alignment horizontal="center" vertical="center"/>
    </xf>
    <xf numFmtId="164" fontId="11" fillId="3" borderId="29" xfId="0" applyNumberFormat="1" applyFont="1" applyFill="1" applyBorder="1" applyAlignment="1">
      <alignment horizontal="center" vertical="center"/>
    </xf>
    <xf numFmtId="164" fontId="7" fillId="6" borderId="31" xfId="0" applyNumberFormat="1" applyFont="1" applyFill="1" applyBorder="1" applyAlignment="1">
      <alignment horizontal="center"/>
    </xf>
    <xf numFmtId="164" fontId="7" fillId="0" borderId="11" xfId="0" applyNumberFormat="1" applyFont="1" applyBorder="1"/>
    <xf numFmtId="164" fontId="7" fillId="4" borderId="32" xfId="0" applyNumberFormat="1" applyFont="1" applyFill="1" applyBorder="1" applyAlignment="1">
      <alignment horizontal="center"/>
    </xf>
    <xf numFmtId="14" fontId="7" fillId="4" borderId="32" xfId="0" applyNumberFormat="1" applyFont="1" applyFill="1" applyBorder="1" applyAlignment="1">
      <alignment horizontal="center"/>
    </xf>
    <xf numFmtId="164" fontId="7" fillId="4" borderId="32" xfId="0" applyNumberFormat="1" applyFont="1" applyFill="1" applyBorder="1"/>
    <xf numFmtId="1" fontId="7" fillId="4" borderId="32" xfId="0" applyNumberFormat="1" applyFont="1" applyFill="1" applyBorder="1"/>
    <xf numFmtId="164" fontId="7" fillId="4" borderId="32" xfId="0" applyNumberFormat="1" applyFont="1" applyFill="1" applyBorder="1" applyAlignment="1">
      <alignment horizontal="right"/>
    </xf>
    <xf numFmtId="164" fontId="7" fillId="5" borderId="32" xfId="0" applyNumberFormat="1" applyFont="1" applyFill="1" applyBorder="1"/>
    <xf numFmtId="164" fontId="7" fillId="4" borderId="33" xfId="0" applyNumberFormat="1" applyFont="1" applyFill="1" applyBorder="1"/>
    <xf numFmtId="164" fontId="7" fillId="6" borderId="34" xfId="0" applyNumberFormat="1" applyFont="1" applyFill="1" applyBorder="1" applyAlignment="1">
      <alignment horizontal="center"/>
    </xf>
    <xf numFmtId="164" fontId="7" fillId="6" borderId="35" xfId="0" applyNumberFormat="1" applyFont="1" applyFill="1" applyBorder="1"/>
    <xf numFmtId="164" fontId="7" fillId="6" borderId="32" xfId="0" applyNumberFormat="1" applyFont="1" applyFill="1" applyBorder="1"/>
    <xf numFmtId="164" fontId="7" fillId="6" borderId="36" xfId="0" applyNumberFormat="1" applyFont="1" applyFill="1" applyBorder="1"/>
    <xf numFmtId="164" fontId="7" fillId="6" borderId="37" xfId="0" applyNumberFormat="1" applyFont="1" applyFill="1" applyBorder="1"/>
    <xf numFmtId="14" fontId="7" fillId="6" borderId="37" xfId="0" applyNumberFormat="1" applyFont="1" applyFill="1" applyBorder="1" applyAlignment="1">
      <alignment horizontal="center"/>
    </xf>
    <xf numFmtId="1" fontId="7" fillId="6" borderId="37" xfId="0" applyNumberFormat="1" applyFont="1" applyFill="1" applyBorder="1"/>
    <xf numFmtId="164" fontId="7" fillId="6" borderId="37" xfId="0" applyNumberFormat="1" applyFont="1" applyFill="1" applyBorder="1" applyAlignment="1">
      <alignment horizontal="right"/>
    </xf>
    <xf numFmtId="164" fontId="7" fillId="6" borderId="38" xfId="0" applyNumberFormat="1" applyFont="1" applyFill="1" applyBorder="1"/>
    <xf numFmtId="164" fontId="23" fillId="11" borderId="39" xfId="0" applyNumberFormat="1" applyFont="1" applyFill="1" applyBorder="1"/>
    <xf numFmtId="164" fontId="24" fillId="11" borderId="40" xfId="0" applyNumberFormat="1" applyFont="1" applyFill="1" applyBorder="1"/>
    <xf numFmtId="14" fontId="23" fillId="11" borderId="40" xfId="0" applyNumberFormat="1" applyFont="1" applyFill="1" applyBorder="1"/>
    <xf numFmtId="164" fontId="23" fillId="11" borderId="40" xfId="0" applyNumberFormat="1" applyFont="1" applyFill="1" applyBorder="1" applyAlignment="1">
      <alignment horizontal="right"/>
    </xf>
    <xf numFmtId="1" fontId="23" fillId="11" borderId="40" xfId="0" applyNumberFormat="1" applyFont="1" applyFill="1" applyBorder="1"/>
    <xf numFmtId="164" fontId="23" fillId="11" borderId="40" xfId="0" applyNumberFormat="1" applyFont="1" applyFill="1" applyBorder="1"/>
    <xf numFmtId="164" fontId="23" fillId="11" borderId="41" xfId="0" applyNumberFormat="1" applyFont="1" applyFill="1" applyBorder="1"/>
    <xf numFmtId="164" fontId="11" fillId="0" borderId="39" xfId="0" applyNumberFormat="1" applyFont="1" applyBorder="1" applyAlignment="1">
      <alignment horizontal="center"/>
    </xf>
    <xf numFmtId="164" fontId="11" fillId="0" borderId="40" xfId="0" applyNumberFormat="1" applyFont="1" applyBorder="1" applyAlignment="1">
      <alignment horizontal="center"/>
    </xf>
    <xf numFmtId="164" fontId="11" fillId="0" borderId="41" xfId="0" applyNumberFormat="1" applyFont="1" applyBorder="1" applyAlignment="1">
      <alignment horizontal="center"/>
    </xf>
    <xf numFmtId="164" fontId="7" fillId="0" borderId="43" xfId="0" applyNumberFormat="1" applyFont="1" applyBorder="1"/>
    <xf numFmtId="164" fontId="7" fillId="0" borderId="44" xfId="0" applyNumberFormat="1" applyFont="1" applyBorder="1"/>
    <xf numFmtId="164" fontId="7" fillId="0" borderId="45" xfId="0" applyNumberFormat="1" applyFont="1" applyBorder="1"/>
    <xf numFmtId="164" fontId="7" fillId="0" borderId="34" xfId="0" applyNumberFormat="1" applyFont="1" applyBorder="1"/>
    <xf numFmtId="164" fontId="7" fillId="0" borderId="35" xfId="0" applyNumberFormat="1" applyFont="1" applyBorder="1"/>
    <xf numFmtId="164" fontId="7" fillId="0" borderId="46" xfId="0" applyNumberFormat="1" applyFont="1" applyBorder="1"/>
    <xf numFmtId="164" fontId="15" fillId="0" borderId="47" xfId="0" applyNumberFormat="1" applyFont="1" applyBorder="1"/>
    <xf numFmtId="0" fontId="15" fillId="0" borderId="47" xfId="0" applyFont="1" applyBorder="1"/>
    <xf numFmtId="164" fontId="7" fillId="0" borderId="48" xfId="0" applyNumberFormat="1" applyFont="1" applyBorder="1"/>
    <xf numFmtId="0" fontId="15" fillId="0" borderId="49" xfId="0" applyFont="1" applyBorder="1"/>
    <xf numFmtId="164" fontId="7" fillId="0" borderId="50" xfId="0" applyNumberFormat="1" applyFont="1" applyBorder="1"/>
    <xf numFmtId="164" fontId="15" fillId="0" borderId="0" xfId="0" applyNumberFormat="1" applyFont="1"/>
    <xf numFmtId="0" fontId="15" fillId="0" borderId="51" xfId="0" applyFont="1" applyBorder="1"/>
    <xf numFmtId="164" fontId="4" fillId="3" borderId="7" xfId="0" applyNumberFormat="1" applyFont="1" applyFill="1" applyBorder="1" applyAlignment="1">
      <alignment horizontal="center" vertical="center" wrapText="1"/>
    </xf>
    <xf numFmtId="0" fontId="2" fillId="0" borderId="11" xfId="0" applyFont="1" applyBorder="1"/>
    <xf numFmtId="164" fontId="4" fillId="3" borderId="8" xfId="0" applyNumberFormat="1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4" fontId="1" fillId="3" borderId="4" xfId="0" applyNumberFormat="1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11" fillId="0" borderId="7" xfId="0" applyFont="1" applyBorder="1" applyAlignment="1">
      <alignment horizontal="center" vertical="center" wrapText="1"/>
    </xf>
    <xf numFmtId="0" fontId="2" fillId="0" borderId="13" xfId="0" applyFont="1" applyBorder="1"/>
    <xf numFmtId="0" fontId="11" fillId="0" borderId="0" xfId="0" applyFont="1" applyAlignment="1">
      <alignment horizontal="center"/>
    </xf>
    <xf numFmtId="0" fontId="0" fillId="0" borderId="0" xfId="0" applyFont="1" applyAlignment="1"/>
    <xf numFmtId="164" fontId="1" fillId="2" borderId="1" xfId="0" applyNumberFormat="1" applyFont="1" applyFill="1" applyBorder="1" applyAlignment="1">
      <alignment horizontal="center" vertical="center"/>
    </xf>
    <xf numFmtId="0" fontId="2" fillId="0" borderId="4" xfId="0" applyFont="1" applyBorder="1"/>
    <xf numFmtId="164" fontId="4" fillId="3" borderId="7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11" fillId="3" borderId="20" xfId="0" applyNumberFormat="1" applyFont="1" applyFill="1" applyBorder="1" applyAlignment="1">
      <alignment horizontal="center" vertical="center"/>
    </xf>
    <xf numFmtId="0" fontId="2" fillId="0" borderId="26" xfId="0" applyFont="1" applyBorder="1"/>
    <xf numFmtId="164" fontId="11" fillId="3" borderId="21" xfId="0" applyNumberFormat="1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5" fillId="3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6" fillId="12" borderId="20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26" fillId="3" borderId="20" xfId="0" applyFont="1" applyFill="1" applyBorder="1" applyAlignment="1">
      <alignment horizontal="center" vertical="center" wrapText="1"/>
    </xf>
    <xf numFmtId="164" fontId="7" fillId="3" borderId="20" xfId="0" applyNumberFormat="1" applyFont="1" applyFill="1" applyBorder="1" applyAlignment="1">
      <alignment horizontal="center" vertical="center"/>
    </xf>
    <xf numFmtId="0" fontId="2" fillId="0" borderId="24" xfId="0" applyFont="1" applyBorder="1"/>
    <xf numFmtId="164" fontId="11" fillId="3" borderId="25" xfId="0" applyNumberFormat="1" applyFont="1" applyFill="1" applyBorder="1" applyAlignment="1">
      <alignment horizontal="center" vertical="center"/>
    </xf>
    <xf numFmtId="0" fontId="2" fillId="0" borderId="30" xfId="0" applyFont="1" applyBorder="1"/>
    <xf numFmtId="164" fontId="1" fillId="10" borderId="14" xfId="0" applyNumberFormat="1" applyFont="1" applyFill="1" applyBorder="1" applyAlignment="1">
      <alignment horizontal="center"/>
    </xf>
    <xf numFmtId="0" fontId="9" fillId="5" borderId="6" xfId="0" applyFont="1" applyFill="1" applyBorder="1" applyAlignment="1">
      <alignment horizontal="left" vertical="center" wrapText="1"/>
    </xf>
    <xf numFmtId="164" fontId="10" fillId="6" borderId="1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54"/>
  <sheetViews>
    <sheetView tabSelected="1" workbookViewId="0">
      <selection activeCell="E14" sqref="E14"/>
    </sheetView>
  </sheetViews>
  <sheetFormatPr defaultColWidth="12.59765625" defaultRowHeight="15" customHeight="1" outlineLevelRow="1"/>
  <cols>
    <col min="1" max="1" width="7.19921875" customWidth="1"/>
    <col min="2" max="2" width="19.19921875" customWidth="1"/>
    <col min="3" max="3" width="12.59765625" customWidth="1"/>
    <col min="4" max="4" width="17.59765625" customWidth="1"/>
    <col min="5" max="5" width="12.5" customWidth="1"/>
    <col min="6" max="6" width="17.19921875" customWidth="1"/>
    <col min="7" max="8" width="7" customWidth="1"/>
    <col min="9" max="9" width="7.69921875" customWidth="1"/>
    <col min="10" max="10" width="10.09765625" customWidth="1"/>
    <col min="11" max="11" width="12.59765625" customWidth="1"/>
    <col min="12" max="12" width="11.69921875" customWidth="1"/>
    <col min="13" max="13" width="12.59765625" customWidth="1"/>
    <col min="14" max="14" width="7" customWidth="1"/>
    <col min="15" max="16" width="10.09765625" customWidth="1"/>
    <col min="17" max="17" width="12.09765625" customWidth="1"/>
    <col min="18" max="18" width="10.09765625" customWidth="1"/>
    <col min="19" max="19" width="12.59765625" customWidth="1"/>
    <col min="20" max="20" width="15.09765625" customWidth="1"/>
    <col min="21" max="21" width="16.8984375" customWidth="1"/>
    <col min="22" max="27" width="7.59765625" customWidth="1"/>
  </cols>
  <sheetData>
    <row r="1" spans="1:27" ht="13.8">
      <c r="A1" s="16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9"/>
      <c r="V1" s="1"/>
      <c r="W1" s="1"/>
      <c r="X1" s="1"/>
      <c r="Y1" s="1"/>
      <c r="Z1" s="1"/>
      <c r="AA1" s="1"/>
    </row>
    <row r="2" spans="1:27" ht="13.8">
      <c r="A2" s="168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2"/>
      <c r="V2" s="1"/>
      <c r="W2" s="1"/>
      <c r="X2" s="1"/>
      <c r="Y2" s="1"/>
      <c r="Z2" s="1"/>
      <c r="AA2" s="1"/>
    </row>
    <row r="3" spans="1:27" ht="13.8">
      <c r="A3" s="152" t="s">
        <v>1</v>
      </c>
      <c r="B3" s="152" t="s">
        <v>2</v>
      </c>
      <c r="C3" s="152" t="s">
        <v>3</v>
      </c>
      <c r="D3" s="152" t="s">
        <v>4</v>
      </c>
      <c r="E3" s="152" t="s">
        <v>5</v>
      </c>
      <c r="F3" s="152" t="s">
        <v>6</v>
      </c>
      <c r="G3" s="152" t="s">
        <v>7</v>
      </c>
      <c r="H3" s="154" t="s">
        <v>8</v>
      </c>
      <c r="I3" s="155"/>
      <c r="J3" s="155"/>
      <c r="K3" s="156"/>
      <c r="L3" s="154" t="s">
        <v>9</v>
      </c>
      <c r="M3" s="156"/>
      <c r="N3" s="152" t="s">
        <v>10</v>
      </c>
      <c r="O3" s="152" t="s">
        <v>11</v>
      </c>
      <c r="P3" s="152" t="s">
        <v>12</v>
      </c>
      <c r="Q3" s="152" t="s">
        <v>13</v>
      </c>
      <c r="R3" s="152" t="s">
        <v>14</v>
      </c>
      <c r="S3" s="152" t="s">
        <v>15</v>
      </c>
      <c r="T3" s="152" t="s">
        <v>16</v>
      </c>
      <c r="U3" s="152" t="s">
        <v>17</v>
      </c>
      <c r="V3" s="2"/>
      <c r="W3" s="2"/>
      <c r="X3" s="2"/>
      <c r="Y3" s="2"/>
      <c r="Z3" s="2"/>
      <c r="AA3" s="2"/>
    </row>
    <row r="4" spans="1:27" ht="26.4">
      <c r="A4" s="153"/>
      <c r="B4" s="153"/>
      <c r="C4" s="153"/>
      <c r="D4" s="153"/>
      <c r="E4" s="153"/>
      <c r="F4" s="153"/>
      <c r="G4" s="153"/>
      <c r="H4" s="3" t="s">
        <v>18</v>
      </c>
      <c r="I4" s="3" t="s">
        <v>19</v>
      </c>
      <c r="J4" s="4" t="s">
        <v>20</v>
      </c>
      <c r="K4" s="3" t="s">
        <v>21</v>
      </c>
      <c r="L4" s="4" t="s">
        <v>22</v>
      </c>
      <c r="M4" s="3" t="s">
        <v>21</v>
      </c>
      <c r="N4" s="153"/>
      <c r="O4" s="153"/>
      <c r="P4" s="153"/>
      <c r="Q4" s="153"/>
      <c r="R4" s="153"/>
      <c r="S4" s="153"/>
      <c r="T4" s="153"/>
      <c r="U4" s="153"/>
      <c r="V4" s="2"/>
      <c r="W4" s="2"/>
      <c r="X4" s="2"/>
      <c r="Y4" s="2"/>
      <c r="Z4" s="2"/>
      <c r="AA4" s="2"/>
    </row>
    <row r="5" spans="1:27" ht="13.8">
      <c r="A5" s="5" t="s">
        <v>23</v>
      </c>
      <c r="B5" s="6" t="s">
        <v>24</v>
      </c>
      <c r="C5" s="7">
        <v>905955479</v>
      </c>
      <c r="D5" s="8" t="s">
        <v>25</v>
      </c>
      <c r="E5" s="9">
        <v>6000000</v>
      </c>
      <c r="F5" s="9">
        <v>5500000</v>
      </c>
      <c r="G5" s="10">
        <v>2</v>
      </c>
      <c r="H5" s="11">
        <v>4640</v>
      </c>
      <c r="I5" s="11">
        <v>4886</v>
      </c>
      <c r="J5" s="9">
        <v>4000</v>
      </c>
      <c r="K5" s="9">
        <f t="shared" ref="K5:K9" si="0">(I5-H5)*J5</f>
        <v>984000</v>
      </c>
      <c r="L5" s="9">
        <v>100000</v>
      </c>
      <c r="M5" s="9">
        <f t="shared" ref="M5:M9" si="1">G5*L5</f>
        <v>200000</v>
      </c>
      <c r="N5" s="12">
        <v>0</v>
      </c>
      <c r="O5" s="12">
        <v>0</v>
      </c>
      <c r="P5" s="9">
        <v>200000</v>
      </c>
      <c r="Q5" s="9">
        <f t="shared" ref="Q5:Q9" si="2">F5+K5+M5+O5+P5</f>
        <v>6884000</v>
      </c>
      <c r="R5" s="13"/>
      <c r="S5" s="14">
        <f t="shared" ref="S5:S9" si="3">Q5-R5</f>
        <v>6884000</v>
      </c>
      <c r="T5" s="15"/>
      <c r="U5" s="16" t="s">
        <v>26</v>
      </c>
      <c r="V5" s="1"/>
      <c r="W5" s="1"/>
      <c r="X5" s="1"/>
      <c r="Y5" s="1"/>
      <c r="Z5" s="1"/>
      <c r="AA5" s="1"/>
    </row>
    <row r="6" spans="1:27" ht="13.8">
      <c r="A6" s="5">
        <v>101</v>
      </c>
      <c r="B6" s="17" t="s">
        <v>27</v>
      </c>
      <c r="C6" s="18">
        <v>329337232</v>
      </c>
      <c r="D6" s="19" t="s">
        <v>28</v>
      </c>
      <c r="E6" s="9">
        <v>5600000</v>
      </c>
      <c r="F6" s="9">
        <v>5100000</v>
      </c>
      <c r="G6" s="20">
        <v>3</v>
      </c>
      <c r="H6" s="11">
        <v>1410</v>
      </c>
      <c r="I6" s="11">
        <v>1520</v>
      </c>
      <c r="J6" s="21">
        <v>4000</v>
      </c>
      <c r="K6" s="9">
        <f t="shared" si="0"/>
        <v>440000</v>
      </c>
      <c r="L6" s="9">
        <v>100000</v>
      </c>
      <c r="M6" s="9">
        <f t="shared" si="1"/>
        <v>300000</v>
      </c>
      <c r="N6" s="22">
        <v>0</v>
      </c>
      <c r="O6" s="21">
        <v>200000</v>
      </c>
      <c r="P6" s="21">
        <v>250000</v>
      </c>
      <c r="Q6" s="9">
        <f t="shared" si="2"/>
        <v>6290000</v>
      </c>
      <c r="R6" s="21"/>
      <c r="S6" s="14">
        <f t="shared" si="3"/>
        <v>6290000</v>
      </c>
      <c r="T6" s="15"/>
      <c r="U6" s="16" t="s">
        <v>29</v>
      </c>
      <c r="V6" s="1"/>
      <c r="W6" s="1"/>
      <c r="X6" s="1"/>
      <c r="Y6" s="1"/>
      <c r="Z6" s="1"/>
      <c r="AA6" s="1"/>
    </row>
    <row r="7" spans="1:27" ht="13.8">
      <c r="A7" s="5">
        <v>102</v>
      </c>
      <c r="B7" s="17" t="s">
        <v>30</v>
      </c>
      <c r="C7" s="7">
        <v>927786374</v>
      </c>
      <c r="D7" s="19" t="s">
        <v>31</v>
      </c>
      <c r="E7" s="9">
        <v>5500000</v>
      </c>
      <c r="F7" s="9">
        <v>5000000</v>
      </c>
      <c r="G7" s="20">
        <v>2</v>
      </c>
      <c r="H7" s="11">
        <v>3723</v>
      </c>
      <c r="I7" s="11">
        <v>4027</v>
      </c>
      <c r="J7" s="23">
        <v>4000</v>
      </c>
      <c r="K7" s="9">
        <f t="shared" si="0"/>
        <v>1216000</v>
      </c>
      <c r="L7" s="9">
        <v>100000</v>
      </c>
      <c r="M7" s="9">
        <f t="shared" si="1"/>
        <v>200000</v>
      </c>
      <c r="N7" s="22">
        <v>0</v>
      </c>
      <c r="O7" s="22">
        <v>0</v>
      </c>
      <c r="P7" s="23">
        <v>200000</v>
      </c>
      <c r="Q7" s="9">
        <f t="shared" si="2"/>
        <v>6616000</v>
      </c>
      <c r="R7" s="21"/>
      <c r="S7" s="24">
        <f t="shared" si="3"/>
        <v>6616000</v>
      </c>
      <c r="T7" s="25"/>
      <c r="U7" s="26" t="s">
        <v>32</v>
      </c>
      <c r="V7" s="1"/>
      <c r="W7" s="1"/>
      <c r="X7" s="1"/>
      <c r="Y7" s="1"/>
      <c r="Z7" s="1"/>
      <c r="AA7" s="1"/>
    </row>
    <row r="8" spans="1:27" ht="27.6">
      <c r="A8" s="5">
        <v>201</v>
      </c>
      <c r="B8" s="17" t="s">
        <v>33</v>
      </c>
      <c r="C8" s="18">
        <v>968954883</v>
      </c>
      <c r="D8" s="19" t="s">
        <v>34</v>
      </c>
      <c r="E8" s="9">
        <v>5900000</v>
      </c>
      <c r="F8" s="9">
        <v>5400000</v>
      </c>
      <c r="G8" s="20">
        <v>2</v>
      </c>
      <c r="H8" s="11">
        <v>1359</v>
      </c>
      <c r="I8" s="11">
        <v>1467</v>
      </c>
      <c r="J8" s="23">
        <v>4000</v>
      </c>
      <c r="K8" s="9">
        <f t="shared" si="0"/>
        <v>432000</v>
      </c>
      <c r="L8" s="9">
        <v>100000</v>
      </c>
      <c r="M8" s="9">
        <f t="shared" si="1"/>
        <v>200000</v>
      </c>
      <c r="N8" s="22">
        <v>0</v>
      </c>
      <c r="O8" s="22">
        <v>0</v>
      </c>
      <c r="P8" s="23">
        <v>200000</v>
      </c>
      <c r="Q8" s="9">
        <f t="shared" si="2"/>
        <v>6232000</v>
      </c>
      <c r="R8" s="21"/>
      <c r="S8" s="14">
        <f t="shared" si="3"/>
        <v>6232000</v>
      </c>
      <c r="T8" s="15"/>
      <c r="U8" s="190" t="s">
        <v>35</v>
      </c>
      <c r="V8" s="1"/>
      <c r="W8" s="1"/>
      <c r="X8" s="1"/>
      <c r="Y8" s="1"/>
      <c r="Z8" s="1"/>
      <c r="AA8" s="1"/>
    </row>
    <row r="9" spans="1:27" ht="27.6">
      <c r="A9" s="5">
        <v>202</v>
      </c>
      <c r="B9" s="17" t="s">
        <v>36</v>
      </c>
      <c r="C9" s="18">
        <v>938772212</v>
      </c>
      <c r="D9" s="19" t="s">
        <v>37</v>
      </c>
      <c r="E9" s="9">
        <v>5700000</v>
      </c>
      <c r="F9" s="9">
        <v>5200000</v>
      </c>
      <c r="G9" s="20">
        <v>3</v>
      </c>
      <c r="H9" s="11">
        <v>1449</v>
      </c>
      <c r="I9" s="11">
        <v>1570</v>
      </c>
      <c r="J9" s="23">
        <v>4000</v>
      </c>
      <c r="K9" s="9">
        <f t="shared" si="0"/>
        <v>484000</v>
      </c>
      <c r="L9" s="9">
        <v>100000</v>
      </c>
      <c r="M9" s="9">
        <f t="shared" si="1"/>
        <v>300000</v>
      </c>
      <c r="N9" s="22">
        <v>0</v>
      </c>
      <c r="O9" s="22">
        <v>200000</v>
      </c>
      <c r="P9" s="23">
        <v>200000</v>
      </c>
      <c r="Q9" s="9">
        <f t="shared" si="2"/>
        <v>6384000</v>
      </c>
      <c r="R9" s="21"/>
      <c r="S9" s="14">
        <f t="shared" si="3"/>
        <v>6384000</v>
      </c>
      <c r="T9" s="27"/>
      <c r="U9" s="190" t="s">
        <v>38</v>
      </c>
      <c r="V9" s="1"/>
      <c r="W9" s="1"/>
      <c r="X9" s="1"/>
      <c r="Y9" s="1"/>
      <c r="Z9" s="1"/>
      <c r="AA9" s="1"/>
    </row>
    <row r="10" spans="1:27" ht="13.8">
      <c r="A10" s="28"/>
      <c r="B10" s="28"/>
      <c r="C10" s="29"/>
      <c r="D10" s="30"/>
      <c r="E10" s="31">
        <f t="shared" ref="E10:G10" si="4">SUM(E5:E9)</f>
        <v>28700000</v>
      </c>
      <c r="F10" s="31">
        <f t="shared" si="4"/>
        <v>26200000</v>
      </c>
      <c r="G10" s="32">
        <f t="shared" si="4"/>
        <v>12</v>
      </c>
      <c r="H10" s="31"/>
      <c r="I10" s="31"/>
      <c r="J10" s="31"/>
      <c r="K10" s="31">
        <f>SUM(K5:K9)</f>
        <v>3556000</v>
      </c>
      <c r="L10" s="31"/>
      <c r="M10" s="31">
        <f t="shared" ref="M10:T10" si="5">SUM(M5:M9)</f>
        <v>1200000</v>
      </c>
      <c r="N10" s="28">
        <f t="shared" si="5"/>
        <v>0</v>
      </c>
      <c r="O10" s="28">
        <f t="shared" si="5"/>
        <v>400000</v>
      </c>
      <c r="P10" s="31">
        <f t="shared" si="5"/>
        <v>1050000</v>
      </c>
      <c r="Q10" s="31">
        <f t="shared" si="5"/>
        <v>32406000</v>
      </c>
      <c r="R10" s="31">
        <f t="shared" si="5"/>
        <v>0</v>
      </c>
      <c r="S10" s="28">
        <f t="shared" si="5"/>
        <v>32406000</v>
      </c>
      <c r="T10" s="28">
        <f t="shared" si="5"/>
        <v>0</v>
      </c>
      <c r="U10" s="28"/>
      <c r="V10" s="1"/>
      <c r="W10" s="1"/>
      <c r="X10" s="1"/>
      <c r="Y10" s="1"/>
      <c r="Z10" s="1"/>
      <c r="AA10" s="1"/>
    </row>
    <row r="11" spans="1:27" ht="13.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8">
      <c r="A12" s="157" t="s">
        <v>39</v>
      </c>
      <c r="B12" s="158"/>
      <c r="C12" s="158"/>
      <c r="D12" s="158"/>
      <c r="E12" s="159"/>
      <c r="F12" s="3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60" t="str">
        <f>A1</f>
        <v>K10: C1-A18 PHẠM HÙNG, BÌNH CHÁNH</v>
      </c>
      <c r="B13" s="161"/>
      <c r="C13" s="161"/>
      <c r="D13" s="161"/>
      <c r="E13" s="162"/>
      <c r="F13" s="3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63" t="s">
        <v>40</v>
      </c>
      <c r="B14" s="34" t="s">
        <v>41</v>
      </c>
      <c r="C14" s="34" t="s">
        <v>42</v>
      </c>
      <c r="D14" s="34" t="s">
        <v>43</v>
      </c>
      <c r="E14" s="34" t="s">
        <v>44</v>
      </c>
      <c r="F14" s="3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64"/>
      <c r="B15" s="35" t="s">
        <v>45</v>
      </c>
      <c r="C15" s="36">
        <f>F10</f>
        <v>26200000</v>
      </c>
      <c r="D15" s="36">
        <v>15000000</v>
      </c>
      <c r="E15" s="36">
        <f t="shared" ref="E15:E24" si="6">C15-D15</f>
        <v>11200000</v>
      </c>
      <c r="F15" s="37" t="s">
        <v>46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64"/>
      <c r="B16" s="38" t="s">
        <v>47</v>
      </c>
      <c r="C16" s="36">
        <f>K10</f>
        <v>3556000</v>
      </c>
      <c r="D16" s="39">
        <v>3189542</v>
      </c>
      <c r="E16" s="36">
        <f t="shared" si="6"/>
        <v>366458</v>
      </c>
      <c r="F16" s="40" t="s">
        <v>48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64"/>
      <c r="B17" s="35" t="s">
        <v>49</v>
      </c>
      <c r="C17" s="36">
        <f>M10</f>
        <v>1200000</v>
      </c>
      <c r="D17" s="41">
        <v>1073548</v>
      </c>
      <c r="E17" s="36">
        <f t="shared" si="6"/>
        <v>126452</v>
      </c>
      <c r="F17" s="40" t="s">
        <v>50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164"/>
      <c r="B18" s="42" t="s">
        <v>51</v>
      </c>
      <c r="C18" s="36"/>
      <c r="D18" s="39">
        <v>299000</v>
      </c>
      <c r="E18" s="36">
        <f t="shared" si="6"/>
        <v>-299000</v>
      </c>
      <c r="F18" s="40" t="s">
        <v>50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64"/>
      <c r="B19" s="43" t="s">
        <v>52</v>
      </c>
      <c r="C19" s="36">
        <f>O10</f>
        <v>400000</v>
      </c>
      <c r="D19" s="39"/>
      <c r="E19" s="36">
        <f t="shared" si="6"/>
        <v>400000</v>
      </c>
      <c r="F19" s="3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64"/>
      <c r="B20" s="43" t="s">
        <v>53</v>
      </c>
      <c r="C20" s="36"/>
      <c r="D20" s="39"/>
      <c r="E20" s="36">
        <f t="shared" si="6"/>
        <v>0</v>
      </c>
      <c r="F20" s="4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64"/>
      <c r="B21" s="45" t="s">
        <v>54</v>
      </c>
      <c r="C21" s="46"/>
      <c r="D21" s="47">
        <v>2000000</v>
      </c>
      <c r="E21" s="46">
        <f t="shared" si="6"/>
        <v>-2000000</v>
      </c>
      <c r="F21" s="4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64"/>
      <c r="B22" s="45" t="s">
        <v>55</v>
      </c>
      <c r="C22" s="46">
        <f>P10</f>
        <v>1050000</v>
      </c>
      <c r="D22" s="46">
        <v>500000</v>
      </c>
      <c r="E22" s="46">
        <f t="shared" si="6"/>
        <v>550000</v>
      </c>
      <c r="F22" s="4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64"/>
      <c r="B23" s="45" t="s">
        <v>56</v>
      </c>
      <c r="C23" s="46"/>
      <c r="D23" s="46">
        <v>500000</v>
      </c>
      <c r="E23" s="46">
        <f t="shared" si="6"/>
        <v>-500000</v>
      </c>
      <c r="F23" s="4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53"/>
      <c r="B24" s="28" t="s">
        <v>57</v>
      </c>
      <c r="C24" s="48">
        <f t="shared" ref="C24:D24" si="7">SUM(C15:C23)</f>
        <v>32406000</v>
      </c>
      <c r="D24" s="48">
        <f t="shared" si="7"/>
        <v>22562090</v>
      </c>
      <c r="E24" s="48">
        <f t="shared" si="6"/>
        <v>9843910</v>
      </c>
      <c r="F24" s="49">
        <f>E24/C24</f>
        <v>0.30376812935876074</v>
      </c>
      <c r="I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/>
      <c r="B25" s="1"/>
      <c r="C25" s="1"/>
      <c r="D25" s="1"/>
      <c r="E25" s="1"/>
      <c r="F25" s="1"/>
      <c r="G25" s="1"/>
      <c r="H25" s="1"/>
      <c r="I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outlineLevel="1">
      <c r="A26" s="165" t="s">
        <v>58</v>
      </c>
      <c r="B26" s="166"/>
      <c r="C26" s="166"/>
      <c r="D26" s="166"/>
      <c r="E26" s="50">
        <v>150000000</v>
      </c>
      <c r="F26" s="1"/>
      <c r="G26" s="1"/>
      <c r="H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outlineLevel="1">
      <c r="A27" s="51"/>
      <c r="B27" s="51"/>
      <c r="C27" s="51"/>
      <c r="D27" s="51"/>
      <c r="E27" s="52">
        <f>E24/E26</f>
        <v>6.5626066666666663E-2</v>
      </c>
      <c r="F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/>
      <c r="B28" s="1"/>
      <c r="C28" s="1"/>
      <c r="D28" s="1"/>
      <c r="E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"/>
      <c r="B29" s="1"/>
      <c r="C29" s="1"/>
      <c r="D29" s="1"/>
      <c r="E29" s="53">
        <f>D21+D22+D23-S7</f>
        <v>-3616000</v>
      </c>
      <c r="F29" s="54" t="s">
        <v>59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1"/>
      <c r="C30" s="1"/>
      <c r="D30" s="1"/>
      <c r="E30" s="55">
        <v>5000000</v>
      </c>
      <c r="F30" s="56" t="s">
        <v>60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/>
      <c r="B31" s="1"/>
      <c r="C31" s="1"/>
      <c r="D31" s="57"/>
      <c r="E31" s="58">
        <f>7300000+2000000+3000000-3616000-5000000</f>
        <v>3684000</v>
      </c>
      <c r="F31" s="59" t="s">
        <v>61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</sheetData>
  <mergeCells count="22">
    <mergeCell ref="Q3:Q4"/>
    <mergeCell ref="R3:R4"/>
    <mergeCell ref="S3:S4"/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A26:D26"/>
    <mergeCell ref="L3:M3"/>
    <mergeCell ref="N3:N4"/>
    <mergeCell ref="O3:O4"/>
    <mergeCell ref="P3:P4"/>
    <mergeCell ref="G3:G4"/>
    <mergeCell ref="H3:K3"/>
    <mergeCell ref="A12:E12"/>
    <mergeCell ref="A13:E13"/>
    <mergeCell ref="A14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5"/>
  <sheetViews>
    <sheetView workbookViewId="0">
      <selection sqref="A1:U2"/>
    </sheetView>
  </sheetViews>
  <sheetFormatPr defaultColWidth="12.59765625" defaultRowHeight="15" customHeight="1" outlineLevelRow="1"/>
  <cols>
    <col min="1" max="1" width="7.19921875" customWidth="1"/>
    <col min="2" max="2" width="19.19921875" customWidth="1"/>
    <col min="3" max="3" width="12.59765625" customWidth="1"/>
    <col min="4" max="4" width="17.59765625" customWidth="1"/>
    <col min="5" max="6" width="12.59765625" customWidth="1"/>
    <col min="7" max="9" width="7" customWidth="1"/>
    <col min="10" max="13" width="10.09765625" customWidth="1"/>
    <col min="14" max="14" width="7" customWidth="1"/>
    <col min="15" max="18" width="10.09765625" customWidth="1"/>
    <col min="19" max="19" width="12.59765625" customWidth="1"/>
    <col min="20" max="20" width="15.09765625" customWidth="1"/>
    <col min="21" max="21" width="16.8984375" customWidth="1"/>
    <col min="22" max="27" width="7.59765625" customWidth="1"/>
  </cols>
  <sheetData>
    <row r="1" spans="1:27" ht="13.8">
      <c r="A1" s="16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9"/>
      <c r="V1" s="1"/>
      <c r="W1" s="1"/>
      <c r="X1" s="1"/>
      <c r="Y1" s="1"/>
      <c r="Z1" s="1"/>
      <c r="AA1" s="1"/>
    </row>
    <row r="2" spans="1:27" ht="13.8">
      <c r="A2" s="168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2"/>
      <c r="V2" s="1"/>
      <c r="W2" s="1"/>
      <c r="X2" s="1"/>
      <c r="Y2" s="1"/>
      <c r="Z2" s="1"/>
      <c r="AA2" s="1"/>
    </row>
    <row r="3" spans="1:27" ht="13.8">
      <c r="A3" s="152" t="s">
        <v>1</v>
      </c>
      <c r="B3" s="152" t="s">
        <v>2</v>
      </c>
      <c r="C3" s="152" t="s">
        <v>3</v>
      </c>
      <c r="D3" s="152" t="s">
        <v>4</v>
      </c>
      <c r="E3" s="152" t="s">
        <v>5</v>
      </c>
      <c r="F3" s="152" t="s">
        <v>6</v>
      </c>
      <c r="G3" s="152" t="s">
        <v>7</v>
      </c>
      <c r="H3" s="154" t="s">
        <v>8</v>
      </c>
      <c r="I3" s="155"/>
      <c r="J3" s="155"/>
      <c r="K3" s="156"/>
      <c r="L3" s="154" t="s">
        <v>9</v>
      </c>
      <c r="M3" s="156"/>
      <c r="N3" s="152" t="s">
        <v>10</v>
      </c>
      <c r="O3" s="152" t="s">
        <v>11</v>
      </c>
      <c r="P3" s="152" t="s">
        <v>12</v>
      </c>
      <c r="Q3" s="152" t="s">
        <v>13</v>
      </c>
      <c r="R3" s="152" t="s">
        <v>14</v>
      </c>
      <c r="S3" s="152" t="s">
        <v>15</v>
      </c>
      <c r="T3" s="152" t="s">
        <v>16</v>
      </c>
      <c r="U3" s="152" t="s">
        <v>17</v>
      </c>
      <c r="V3" s="2"/>
      <c r="W3" s="2"/>
      <c r="X3" s="2"/>
      <c r="Y3" s="2"/>
      <c r="Z3" s="2"/>
      <c r="AA3" s="2"/>
    </row>
    <row r="4" spans="1:27" ht="26.4">
      <c r="A4" s="153"/>
      <c r="B4" s="153"/>
      <c r="C4" s="153"/>
      <c r="D4" s="153"/>
      <c r="E4" s="153"/>
      <c r="F4" s="153"/>
      <c r="G4" s="153"/>
      <c r="H4" s="3" t="s">
        <v>18</v>
      </c>
      <c r="I4" s="3" t="s">
        <v>19</v>
      </c>
      <c r="J4" s="4" t="s">
        <v>20</v>
      </c>
      <c r="K4" s="3" t="s">
        <v>21</v>
      </c>
      <c r="L4" s="4" t="s">
        <v>22</v>
      </c>
      <c r="M4" s="3" t="s">
        <v>21</v>
      </c>
      <c r="N4" s="153"/>
      <c r="O4" s="153"/>
      <c r="P4" s="153"/>
      <c r="Q4" s="153"/>
      <c r="R4" s="153"/>
      <c r="S4" s="153"/>
      <c r="T4" s="153"/>
      <c r="U4" s="153"/>
      <c r="V4" s="2"/>
      <c r="W4" s="2"/>
      <c r="X4" s="2"/>
      <c r="Y4" s="2"/>
      <c r="Z4" s="2"/>
      <c r="AA4" s="2"/>
    </row>
    <row r="5" spans="1:27" ht="13.8">
      <c r="A5" s="5" t="s">
        <v>23</v>
      </c>
      <c r="B5" s="6" t="s">
        <v>24</v>
      </c>
      <c r="C5" s="7">
        <v>905955479</v>
      </c>
      <c r="D5" s="8" t="s">
        <v>25</v>
      </c>
      <c r="E5" s="9">
        <v>6000000</v>
      </c>
      <c r="F5" s="9">
        <v>5500000</v>
      </c>
      <c r="G5" s="10">
        <v>2</v>
      </c>
      <c r="H5" s="11">
        <v>4405</v>
      </c>
      <c r="I5" s="11">
        <v>4640</v>
      </c>
      <c r="J5" s="9">
        <v>4000</v>
      </c>
      <c r="K5" s="9">
        <f t="shared" ref="K5:K9" si="0">(I5-H5)*J5</f>
        <v>940000</v>
      </c>
      <c r="L5" s="9">
        <v>100000</v>
      </c>
      <c r="M5" s="9">
        <f t="shared" ref="M5:M9" si="1">G5*L5</f>
        <v>200000</v>
      </c>
      <c r="N5" s="12">
        <v>0</v>
      </c>
      <c r="O5" s="12">
        <v>0</v>
      </c>
      <c r="P5" s="9">
        <v>200000</v>
      </c>
      <c r="Q5" s="9">
        <f t="shared" ref="Q5:Q9" si="2">F5+K5+M5+O5+P5</f>
        <v>6840000</v>
      </c>
      <c r="R5" s="13"/>
      <c r="S5" s="14">
        <f t="shared" ref="S5:S9" si="3">Q5-R5</f>
        <v>6840000</v>
      </c>
      <c r="T5" s="15"/>
      <c r="U5" s="60" t="s">
        <v>62</v>
      </c>
      <c r="V5" s="1"/>
      <c r="W5" s="1"/>
      <c r="X5" s="1"/>
      <c r="Y5" s="1"/>
      <c r="Z5" s="1"/>
      <c r="AA5" s="1"/>
    </row>
    <row r="6" spans="1:27" ht="13.8">
      <c r="A6" s="5">
        <v>101</v>
      </c>
      <c r="B6" s="17" t="s">
        <v>27</v>
      </c>
      <c r="C6" s="18">
        <v>329337232</v>
      </c>
      <c r="D6" s="19" t="s">
        <v>28</v>
      </c>
      <c r="E6" s="9">
        <v>5600000</v>
      </c>
      <c r="F6" s="9">
        <v>5100000</v>
      </c>
      <c r="G6" s="20">
        <v>3</v>
      </c>
      <c r="H6" s="11">
        <v>1298</v>
      </c>
      <c r="I6" s="11">
        <v>1410</v>
      </c>
      <c r="J6" s="21">
        <v>4000</v>
      </c>
      <c r="K6" s="9">
        <f t="shared" si="0"/>
        <v>448000</v>
      </c>
      <c r="L6" s="9">
        <v>100000</v>
      </c>
      <c r="M6" s="9">
        <f t="shared" si="1"/>
        <v>300000</v>
      </c>
      <c r="N6" s="22">
        <v>0</v>
      </c>
      <c r="O6" s="21">
        <v>200000</v>
      </c>
      <c r="P6" s="21">
        <v>250000</v>
      </c>
      <c r="Q6" s="9">
        <f t="shared" si="2"/>
        <v>6298000</v>
      </c>
      <c r="R6" s="21"/>
      <c r="S6" s="14">
        <f t="shared" si="3"/>
        <v>6298000</v>
      </c>
      <c r="T6" s="15"/>
      <c r="U6" s="60" t="s">
        <v>63</v>
      </c>
      <c r="V6" s="1"/>
      <c r="W6" s="1"/>
      <c r="X6" s="1"/>
      <c r="Y6" s="1"/>
      <c r="Z6" s="1"/>
      <c r="AA6" s="1"/>
    </row>
    <row r="7" spans="1:27" ht="13.8">
      <c r="A7" s="5">
        <v>102</v>
      </c>
      <c r="B7" s="17" t="s">
        <v>30</v>
      </c>
      <c r="C7" s="7">
        <v>927786374</v>
      </c>
      <c r="D7" s="19" t="s">
        <v>31</v>
      </c>
      <c r="E7" s="9">
        <v>5500000</v>
      </c>
      <c r="F7" s="9">
        <v>5000000</v>
      </c>
      <c r="G7" s="20">
        <v>2</v>
      </c>
      <c r="H7" s="11">
        <v>3453</v>
      </c>
      <c r="I7" s="11">
        <v>3723</v>
      </c>
      <c r="J7" s="23">
        <v>4000</v>
      </c>
      <c r="K7" s="9">
        <f t="shared" si="0"/>
        <v>1080000</v>
      </c>
      <c r="L7" s="9">
        <v>100000</v>
      </c>
      <c r="M7" s="9">
        <f t="shared" si="1"/>
        <v>200000</v>
      </c>
      <c r="N7" s="22">
        <v>0</v>
      </c>
      <c r="O7" s="22">
        <v>0</v>
      </c>
      <c r="P7" s="23">
        <v>200000</v>
      </c>
      <c r="Q7" s="9">
        <f t="shared" si="2"/>
        <v>6480000</v>
      </c>
      <c r="R7" s="21"/>
      <c r="S7" s="14">
        <f t="shared" si="3"/>
        <v>6480000</v>
      </c>
      <c r="T7" s="27"/>
      <c r="U7" s="60" t="s">
        <v>64</v>
      </c>
      <c r="V7" s="1"/>
      <c r="W7" s="1"/>
      <c r="X7" s="1"/>
      <c r="Y7" s="1"/>
      <c r="Z7" s="1"/>
      <c r="AA7" s="1"/>
    </row>
    <row r="8" spans="1:27" ht="13.8">
      <c r="A8" s="5">
        <v>201</v>
      </c>
      <c r="B8" s="17" t="s">
        <v>33</v>
      </c>
      <c r="C8" s="18">
        <v>968954883</v>
      </c>
      <c r="D8" s="19" t="s">
        <v>34</v>
      </c>
      <c r="E8" s="9">
        <v>5900000</v>
      </c>
      <c r="F8" s="9">
        <v>5400000</v>
      </c>
      <c r="G8" s="20">
        <v>2</v>
      </c>
      <c r="H8" s="11">
        <v>1251</v>
      </c>
      <c r="I8" s="11">
        <v>1359</v>
      </c>
      <c r="J8" s="23">
        <v>4000</v>
      </c>
      <c r="K8" s="9">
        <f t="shared" si="0"/>
        <v>432000</v>
      </c>
      <c r="L8" s="9">
        <v>100000</v>
      </c>
      <c r="M8" s="9">
        <f t="shared" si="1"/>
        <v>200000</v>
      </c>
      <c r="N8" s="22">
        <v>0</v>
      </c>
      <c r="O8" s="22">
        <v>0</v>
      </c>
      <c r="P8" s="23">
        <v>200000</v>
      </c>
      <c r="Q8" s="9">
        <f t="shared" si="2"/>
        <v>6232000</v>
      </c>
      <c r="R8" s="21"/>
      <c r="S8" s="14">
        <f t="shared" si="3"/>
        <v>6232000</v>
      </c>
      <c r="T8" s="15"/>
      <c r="U8" s="60" t="s">
        <v>62</v>
      </c>
      <c r="V8" s="1"/>
      <c r="W8" s="1"/>
      <c r="X8" s="1"/>
      <c r="Y8" s="1"/>
      <c r="Z8" s="1"/>
      <c r="AA8" s="1"/>
    </row>
    <row r="9" spans="1:27" ht="13.8">
      <c r="A9" s="5">
        <v>202</v>
      </c>
      <c r="B9" s="17" t="s">
        <v>36</v>
      </c>
      <c r="C9" s="18">
        <v>938772212</v>
      </c>
      <c r="D9" s="19" t="s">
        <v>37</v>
      </c>
      <c r="E9" s="9">
        <v>5700000</v>
      </c>
      <c r="F9" s="9">
        <v>5200000</v>
      </c>
      <c r="G9" s="20">
        <v>3</v>
      </c>
      <c r="H9" s="11">
        <v>1325</v>
      </c>
      <c r="I9" s="11">
        <v>1449</v>
      </c>
      <c r="J9" s="23">
        <v>4000</v>
      </c>
      <c r="K9" s="9">
        <f t="shared" si="0"/>
        <v>496000</v>
      </c>
      <c r="L9" s="9">
        <v>100000</v>
      </c>
      <c r="M9" s="9">
        <f t="shared" si="1"/>
        <v>300000</v>
      </c>
      <c r="N9" s="22">
        <v>0</v>
      </c>
      <c r="O9" s="22">
        <v>200000</v>
      </c>
      <c r="P9" s="23">
        <v>200000</v>
      </c>
      <c r="Q9" s="9">
        <f t="shared" si="2"/>
        <v>6396000</v>
      </c>
      <c r="R9" s="21"/>
      <c r="S9" s="14">
        <f t="shared" si="3"/>
        <v>6396000</v>
      </c>
      <c r="T9" s="27"/>
      <c r="U9" s="60" t="s">
        <v>63</v>
      </c>
      <c r="V9" s="1"/>
      <c r="W9" s="1"/>
      <c r="X9" s="1"/>
      <c r="Y9" s="1"/>
      <c r="Z9" s="1"/>
      <c r="AA9" s="1"/>
    </row>
    <row r="10" spans="1:27" ht="13.8">
      <c r="A10" s="28"/>
      <c r="B10" s="61"/>
      <c r="C10" s="29"/>
      <c r="D10" s="30"/>
      <c r="E10" s="31">
        <f t="shared" ref="E10:G10" si="4">SUM(E5:E9)</f>
        <v>28700000</v>
      </c>
      <c r="F10" s="31">
        <f t="shared" si="4"/>
        <v>26200000</v>
      </c>
      <c r="G10" s="32">
        <f t="shared" si="4"/>
        <v>12</v>
      </c>
      <c r="H10" s="31"/>
      <c r="I10" s="31"/>
      <c r="J10" s="31"/>
      <c r="K10" s="31">
        <f>SUM(K5:K9)</f>
        <v>3396000</v>
      </c>
      <c r="L10" s="31"/>
      <c r="M10" s="31">
        <f t="shared" ref="M10:T10" si="5">SUM(M5:M9)</f>
        <v>1200000</v>
      </c>
      <c r="N10" s="28">
        <f t="shared" si="5"/>
        <v>0</v>
      </c>
      <c r="O10" s="28">
        <f t="shared" si="5"/>
        <v>400000</v>
      </c>
      <c r="P10" s="31">
        <f t="shared" si="5"/>
        <v>1050000</v>
      </c>
      <c r="Q10" s="31">
        <f t="shared" si="5"/>
        <v>32246000</v>
      </c>
      <c r="R10" s="31">
        <f t="shared" si="5"/>
        <v>0</v>
      </c>
      <c r="S10" s="28">
        <f t="shared" si="5"/>
        <v>32246000</v>
      </c>
      <c r="T10" s="28">
        <f t="shared" si="5"/>
        <v>0</v>
      </c>
      <c r="U10" s="28"/>
      <c r="V10" s="1"/>
      <c r="W10" s="1"/>
      <c r="X10" s="1"/>
      <c r="Y10" s="1"/>
      <c r="Z10" s="1"/>
      <c r="AA10" s="1"/>
    </row>
    <row r="11" spans="1:27" ht="13.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8">
      <c r="A12" s="157" t="s">
        <v>39</v>
      </c>
      <c r="B12" s="158"/>
      <c r="C12" s="158"/>
      <c r="D12" s="158"/>
      <c r="E12" s="159"/>
      <c r="F12" s="3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60" t="str">
        <f>A1</f>
        <v>K10: C1-A18 PHẠM HÙNG, BÌNH CHÁNH</v>
      </c>
      <c r="B13" s="161"/>
      <c r="C13" s="161"/>
      <c r="D13" s="161"/>
      <c r="E13" s="162"/>
      <c r="F13" s="3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63" t="s">
        <v>40</v>
      </c>
      <c r="B14" s="34" t="s">
        <v>41</v>
      </c>
      <c r="C14" s="34" t="s">
        <v>42</v>
      </c>
      <c r="D14" s="34" t="s">
        <v>43</v>
      </c>
      <c r="E14" s="34" t="s">
        <v>44</v>
      </c>
      <c r="F14" s="3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64"/>
      <c r="B15" s="35" t="s">
        <v>45</v>
      </c>
      <c r="C15" s="36">
        <f>F10</f>
        <v>26200000</v>
      </c>
      <c r="D15" s="36">
        <v>15000000</v>
      </c>
      <c r="E15" s="36">
        <f t="shared" ref="E15:E24" si="6">C15-D15</f>
        <v>11200000</v>
      </c>
      <c r="F15" s="62" t="s">
        <v>65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64"/>
      <c r="B16" s="38" t="s">
        <v>66</v>
      </c>
      <c r="C16" s="36">
        <f>K10</f>
        <v>3396000</v>
      </c>
      <c r="D16" s="39">
        <v>3193279</v>
      </c>
      <c r="E16" s="36">
        <f t="shared" si="6"/>
        <v>202721</v>
      </c>
      <c r="F16" s="62" t="s">
        <v>67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64"/>
      <c r="B17" s="35" t="s">
        <v>49</v>
      </c>
      <c r="C17" s="36">
        <f>M10</f>
        <v>1200000</v>
      </c>
      <c r="D17" s="39">
        <v>956858</v>
      </c>
      <c r="E17" s="36">
        <f t="shared" si="6"/>
        <v>243142</v>
      </c>
      <c r="F17" s="63" t="s">
        <v>68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164"/>
      <c r="B18" s="42" t="s">
        <v>51</v>
      </c>
      <c r="C18" s="36"/>
      <c r="D18" s="39">
        <v>299000</v>
      </c>
      <c r="E18" s="36">
        <f t="shared" si="6"/>
        <v>-299000</v>
      </c>
      <c r="F18" s="62" t="s">
        <v>67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64"/>
      <c r="B19" s="43" t="s">
        <v>52</v>
      </c>
      <c r="C19" s="36">
        <f>O10</f>
        <v>400000</v>
      </c>
      <c r="D19" s="39"/>
      <c r="E19" s="36">
        <f t="shared" si="6"/>
        <v>400000</v>
      </c>
      <c r="F19" s="3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64"/>
      <c r="B20" s="43" t="s">
        <v>53</v>
      </c>
      <c r="C20" s="36"/>
      <c r="D20" s="39"/>
      <c r="E20" s="36">
        <f t="shared" si="6"/>
        <v>0</v>
      </c>
      <c r="F20" s="4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64"/>
      <c r="B21" s="45" t="s">
        <v>54</v>
      </c>
      <c r="C21" s="46"/>
      <c r="D21" s="47">
        <v>2000000</v>
      </c>
      <c r="E21" s="46">
        <f t="shared" si="6"/>
        <v>-2000000</v>
      </c>
      <c r="F21" s="4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64"/>
      <c r="B22" s="45" t="s">
        <v>55</v>
      </c>
      <c r="C22" s="46">
        <f>P10</f>
        <v>1050000</v>
      </c>
      <c r="D22" s="46">
        <v>500000</v>
      </c>
      <c r="E22" s="46">
        <f t="shared" si="6"/>
        <v>550000</v>
      </c>
      <c r="F22" s="4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64"/>
      <c r="B23" s="45" t="s">
        <v>56</v>
      </c>
      <c r="C23" s="46"/>
      <c r="D23" s="46">
        <v>500000</v>
      </c>
      <c r="E23" s="46">
        <f t="shared" si="6"/>
        <v>-500000</v>
      </c>
      <c r="F23" s="4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53"/>
      <c r="B24" s="28" t="s">
        <v>57</v>
      </c>
      <c r="C24" s="48">
        <f t="shared" ref="C24:D24" si="7">SUM(C15:C23)</f>
        <v>32246000</v>
      </c>
      <c r="D24" s="48">
        <f t="shared" si="7"/>
        <v>22449137</v>
      </c>
      <c r="E24" s="48">
        <f t="shared" si="6"/>
        <v>9796863</v>
      </c>
      <c r="F24" s="49">
        <f>E24/C24</f>
        <v>0.30381638032624203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outlineLevel="1">
      <c r="A26" s="165" t="s">
        <v>58</v>
      </c>
      <c r="B26" s="166"/>
      <c r="C26" s="166"/>
      <c r="D26" s="166"/>
      <c r="E26" s="50">
        <v>150000000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outlineLevel="1">
      <c r="A27" s="51"/>
      <c r="B27" s="51"/>
      <c r="C27" s="51"/>
      <c r="D27" s="51"/>
      <c r="E27" s="52">
        <f>E24/E26</f>
        <v>6.5312419999999996E-2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</sheetData>
  <mergeCells count="22">
    <mergeCell ref="Q3:Q4"/>
    <mergeCell ref="R3:R4"/>
    <mergeCell ref="S3:S4"/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A26:D26"/>
    <mergeCell ref="L3:M3"/>
    <mergeCell ref="N3:N4"/>
    <mergeCell ref="O3:O4"/>
    <mergeCell ref="P3:P4"/>
    <mergeCell ref="G3:G4"/>
    <mergeCell ref="H3:K3"/>
    <mergeCell ref="A12:E12"/>
    <mergeCell ref="A13:E13"/>
    <mergeCell ref="A14:A2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>
      <selection sqref="A1:U2"/>
    </sheetView>
  </sheetViews>
  <sheetFormatPr defaultColWidth="12.59765625" defaultRowHeight="15" customHeight="1" outlineLevelRow="1"/>
  <cols>
    <col min="1" max="1" width="6.69921875" customWidth="1"/>
    <col min="2" max="2" width="19.19921875" customWidth="1"/>
    <col min="3" max="3" width="14.59765625" customWidth="1"/>
    <col min="4" max="4" width="19.69921875" customWidth="1"/>
    <col min="5" max="5" width="12.5" customWidth="1"/>
    <col min="6" max="6" width="16.59765625" customWidth="1"/>
    <col min="7" max="7" width="12" customWidth="1"/>
    <col min="8" max="8" width="6.8984375" customWidth="1"/>
    <col min="9" max="9" width="8" customWidth="1"/>
    <col min="10" max="10" width="13.8984375" customWidth="1"/>
    <col min="11" max="11" width="12.3984375" customWidth="1"/>
    <col min="12" max="12" width="11.59765625" customWidth="1"/>
    <col min="13" max="13" width="12.3984375" customWidth="1"/>
    <col min="14" max="14" width="5.8984375" customWidth="1"/>
    <col min="15" max="15" width="8.69921875" customWidth="1"/>
    <col min="16" max="16" width="10.19921875" customWidth="1"/>
    <col min="17" max="17" width="11.19921875" customWidth="1"/>
    <col min="18" max="18" width="8.5" customWidth="1"/>
    <col min="19" max="19" width="11.19921875" customWidth="1"/>
    <col min="20" max="20" width="12.3984375" customWidth="1"/>
    <col min="21" max="21" width="26.8984375" customWidth="1"/>
    <col min="22" max="26" width="7.69921875" customWidth="1"/>
  </cols>
  <sheetData>
    <row r="1" spans="1:26" ht="13.8">
      <c r="A1" s="167" t="s">
        <v>69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9"/>
      <c r="V1" s="64"/>
      <c r="W1" s="64"/>
      <c r="X1" s="64"/>
      <c r="Y1" s="64"/>
      <c r="Z1" s="64"/>
    </row>
    <row r="2" spans="1:26" ht="13.8">
      <c r="A2" s="168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2"/>
      <c r="V2" s="64"/>
      <c r="W2" s="64"/>
      <c r="X2" s="64"/>
      <c r="Y2" s="64"/>
      <c r="Z2" s="64"/>
    </row>
    <row r="3" spans="1:26" ht="13.8">
      <c r="A3" s="169" t="s">
        <v>1</v>
      </c>
      <c r="B3" s="169" t="s">
        <v>2</v>
      </c>
      <c r="C3" s="169" t="s">
        <v>3</v>
      </c>
      <c r="D3" s="169" t="s">
        <v>4</v>
      </c>
      <c r="E3" s="169" t="s">
        <v>5</v>
      </c>
      <c r="F3" s="169" t="s">
        <v>6</v>
      </c>
      <c r="G3" s="169" t="s">
        <v>7</v>
      </c>
      <c r="H3" s="170" t="s">
        <v>8</v>
      </c>
      <c r="I3" s="155"/>
      <c r="J3" s="155"/>
      <c r="K3" s="156"/>
      <c r="L3" s="170" t="s">
        <v>9</v>
      </c>
      <c r="M3" s="156"/>
      <c r="N3" s="169" t="s">
        <v>10</v>
      </c>
      <c r="O3" s="169" t="s">
        <v>11</v>
      </c>
      <c r="P3" s="169" t="s">
        <v>12</v>
      </c>
      <c r="Q3" s="169" t="s">
        <v>13</v>
      </c>
      <c r="R3" s="169" t="s">
        <v>14</v>
      </c>
      <c r="S3" s="169" t="s">
        <v>15</v>
      </c>
      <c r="T3" s="152" t="s">
        <v>16</v>
      </c>
      <c r="U3" s="169" t="s">
        <v>17</v>
      </c>
      <c r="V3" s="64"/>
      <c r="W3" s="64"/>
      <c r="X3" s="64"/>
      <c r="Y3" s="64"/>
      <c r="Z3" s="64"/>
    </row>
    <row r="4" spans="1:26" ht="13.8">
      <c r="A4" s="153"/>
      <c r="B4" s="153"/>
      <c r="C4" s="153"/>
      <c r="D4" s="153"/>
      <c r="E4" s="153"/>
      <c r="F4" s="153"/>
      <c r="G4" s="153"/>
      <c r="H4" s="65" t="s">
        <v>18</v>
      </c>
      <c r="I4" s="65" t="s">
        <v>19</v>
      </c>
      <c r="J4" s="65" t="s">
        <v>70</v>
      </c>
      <c r="K4" s="65" t="s">
        <v>21</v>
      </c>
      <c r="L4" s="65" t="s">
        <v>71</v>
      </c>
      <c r="M4" s="65" t="s">
        <v>21</v>
      </c>
      <c r="N4" s="153"/>
      <c r="O4" s="153"/>
      <c r="P4" s="153"/>
      <c r="Q4" s="153"/>
      <c r="R4" s="153"/>
      <c r="S4" s="153"/>
      <c r="T4" s="153"/>
      <c r="U4" s="153"/>
      <c r="V4" s="64"/>
      <c r="W4" s="64"/>
      <c r="X4" s="64"/>
      <c r="Y4" s="64"/>
      <c r="Z4" s="64"/>
    </row>
    <row r="5" spans="1:26" ht="13.8">
      <c r="A5" s="66" t="s">
        <v>23</v>
      </c>
      <c r="B5" s="67" t="s">
        <v>24</v>
      </c>
      <c r="C5" s="68" t="s">
        <v>72</v>
      </c>
      <c r="D5" s="69" t="s">
        <v>25</v>
      </c>
      <c r="E5" s="9">
        <v>6000000</v>
      </c>
      <c r="F5" s="9">
        <v>5500000</v>
      </c>
      <c r="G5" s="70">
        <v>2</v>
      </c>
      <c r="H5" s="9">
        <v>4202</v>
      </c>
      <c r="I5" s="9">
        <v>4405</v>
      </c>
      <c r="J5" s="9">
        <v>4000</v>
      </c>
      <c r="K5" s="9">
        <f t="shared" ref="K5:K9" si="0">(I5-H5)*J5</f>
        <v>812000</v>
      </c>
      <c r="L5" s="9">
        <v>100000</v>
      </c>
      <c r="M5" s="9">
        <f t="shared" ref="M5:M9" si="1">L5*G5</f>
        <v>200000</v>
      </c>
      <c r="N5" s="9"/>
      <c r="O5" s="9"/>
      <c r="P5" s="9">
        <v>200000</v>
      </c>
      <c r="Q5" s="9">
        <f>F5+K5+M5+O5+P5</f>
        <v>6712000</v>
      </c>
      <c r="R5" s="13"/>
      <c r="S5" s="24">
        <f t="shared" ref="S5:S9" si="2">Q5-R5</f>
        <v>6712000</v>
      </c>
      <c r="T5" s="23"/>
      <c r="U5" s="71" t="s">
        <v>73</v>
      </c>
      <c r="V5" s="64"/>
      <c r="W5" s="64"/>
      <c r="X5" s="64"/>
      <c r="Y5" s="64"/>
      <c r="Z5" s="64"/>
    </row>
    <row r="6" spans="1:26" ht="13.8">
      <c r="A6" s="66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9">
        <v>1184</v>
      </c>
      <c r="I6" s="9">
        <v>1298</v>
      </c>
      <c r="J6" s="21">
        <v>4000</v>
      </c>
      <c r="K6" s="68">
        <f t="shared" si="0"/>
        <v>456000</v>
      </c>
      <c r="L6" s="9">
        <v>100000</v>
      </c>
      <c r="M6" s="9">
        <f t="shared" si="1"/>
        <v>300000</v>
      </c>
      <c r="N6" s="23"/>
      <c r="O6" s="21">
        <v>200000</v>
      </c>
      <c r="P6" s="21">
        <v>250000</v>
      </c>
      <c r="Q6" s="9">
        <f t="shared" ref="Q6:Q7" si="3">F6+K6+M6+P6+O6</f>
        <v>6306000</v>
      </c>
      <c r="R6" s="21"/>
      <c r="S6" s="24">
        <f t="shared" si="2"/>
        <v>6306000</v>
      </c>
      <c r="T6" s="23"/>
      <c r="U6" s="71" t="s">
        <v>73</v>
      </c>
      <c r="V6" s="64"/>
      <c r="W6" s="64"/>
      <c r="X6" s="64"/>
      <c r="Y6" s="64"/>
      <c r="Z6" s="64"/>
    </row>
    <row r="7" spans="1:26" ht="13.8">
      <c r="A7" s="66">
        <v>102</v>
      </c>
      <c r="B7" s="67" t="s">
        <v>30</v>
      </c>
      <c r="C7" s="68" t="s">
        <v>75</v>
      </c>
      <c r="D7" s="73" t="s">
        <v>31</v>
      </c>
      <c r="E7" s="23">
        <v>5500000</v>
      </c>
      <c r="F7" s="23">
        <v>5000000</v>
      </c>
      <c r="G7" s="74">
        <v>2</v>
      </c>
      <c r="H7" s="9">
        <v>3171</v>
      </c>
      <c r="I7" s="9">
        <v>3453</v>
      </c>
      <c r="J7" s="23">
        <v>4000</v>
      </c>
      <c r="K7" s="68">
        <f t="shared" si="0"/>
        <v>1128000</v>
      </c>
      <c r="L7" s="9">
        <v>100000</v>
      </c>
      <c r="M7" s="9">
        <f t="shared" si="1"/>
        <v>200000</v>
      </c>
      <c r="N7" s="23"/>
      <c r="O7" s="23"/>
      <c r="P7" s="23">
        <v>200000</v>
      </c>
      <c r="Q7" s="9">
        <f t="shared" si="3"/>
        <v>6528000</v>
      </c>
      <c r="R7" s="21"/>
      <c r="S7" s="75">
        <f t="shared" si="2"/>
        <v>6528000</v>
      </c>
      <c r="T7" s="23"/>
      <c r="U7" s="76" t="s">
        <v>76</v>
      </c>
      <c r="V7" s="64"/>
      <c r="W7" s="64"/>
      <c r="X7" s="64"/>
      <c r="Y7" s="64"/>
      <c r="Z7" s="64"/>
    </row>
    <row r="8" spans="1:26" ht="13.8">
      <c r="A8" s="66">
        <v>201</v>
      </c>
      <c r="B8" s="67" t="s">
        <v>33</v>
      </c>
      <c r="C8" s="66" t="s">
        <v>77</v>
      </c>
      <c r="D8" s="73" t="s">
        <v>34</v>
      </c>
      <c r="E8" s="23">
        <v>5900000</v>
      </c>
      <c r="F8" s="23">
        <v>5400000</v>
      </c>
      <c r="G8" s="74">
        <v>2</v>
      </c>
      <c r="H8" s="9">
        <v>1145</v>
      </c>
      <c r="I8" s="9">
        <v>1251</v>
      </c>
      <c r="J8" s="23">
        <v>4000</v>
      </c>
      <c r="K8" s="68">
        <f t="shared" si="0"/>
        <v>424000</v>
      </c>
      <c r="L8" s="9">
        <v>100000</v>
      </c>
      <c r="M8" s="9">
        <f t="shared" si="1"/>
        <v>200000</v>
      </c>
      <c r="N8" s="23"/>
      <c r="O8" s="23"/>
      <c r="P8" s="23">
        <v>200000</v>
      </c>
      <c r="Q8" s="9">
        <f>F8+K8+M8+O8+P8</f>
        <v>6224000</v>
      </c>
      <c r="R8" s="21"/>
      <c r="S8" s="24">
        <f t="shared" si="2"/>
        <v>6224000</v>
      </c>
      <c r="T8" s="23"/>
      <c r="U8" s="71" t="s">
        <v>73</v>
      </c>
      <c r="V8" s="64"/>
      <c r="W8" s="64"/>
      <c r="X8" s="64"/>
      <c r="Y8" s="64"/>
      <c r="Z8" s="64"/>
    </row>
    <row r="9" spans="1:26" ht="13.8">
      <c r="A9" s="66">
        <v>202</v>
      </c>
      <c r="B9" s="67" t="s">
        <v>36</v>
      </c>
      <c r="C9" s="66" t="s">
        <v>78</v>
      </c>
      <c r="D9" s="73" t="s">
        <v>37</v>
      </c>
      <c r="E9" s="23">
        <v>5700000</v>
      </c>
      <c r="F9" s="23">
        <v>5200000</v>
      </c>
      <c r="G9" s="74">
        <v>3</v>
      </c>
      <c r="H9" s="9">
        <v>1230</v>
      </c>
      <c r="I9" s="9">
        <v>1325</v>
      </c>
      <c r="J9" s="23">
        <v>4000</v>
      </c>
      <c r="K9" s="68">
        <f t="shared" si="0"/>
        <v>380000</v>
      </c>
      <c r="L9" s="9">
        <v>100000</v>
      </c>
      <c r="M9" s="9">
        <f t="shared" si="1"/>
        <v>300000</v>
      </c>
      <c r="N9" s="23"/>
      <c r="O9" s="23">
        <v>200000</v>
      </c>
      <c r="P9" s="23">
        <v>200000</v>
      </c>
      <c r="Q9" s="9">
        <f>F9+K9+M9+P9+O9</f>
        <v>6280000</v>
      </c>
      <c r="R9" s="21"/>
      <c r="S9" s="24">
        <f t="shared" si="2"/>
        <v>6280000</v>
      </c>
      <c r="T9" s="23"/>
      <c r="U9" s="71" t="s">
        <v>73</v>
      </c>
      <c r="V9" s="64"/>
      <c r="W9" s="64"/>
      <c r="X9" s="64"/>
      <c r="Y9" s="64"/>
      <c r="Z9" s="64"/>
    </row>
    <row r="10" spans="1:26" ht="13.8">
      <c r="A10" s="23"/>
      <c r="B10" s="23"/>
      <c r="C10" s="23"/>
      <c r="D10" s="73"/>
      <c r="E10" s="23"/>
      <c r="F10" s="23"/>
      <c r="G10" s="74"/>
      <c r="H10" s="21"/>
      <c r="I10" s="21"/>
      <c r="J10" s="23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77"/>
      <c r="V10" s="64"/>
      <c r="W10" s="64"/>
      <c r="X10" s="64"/>
      <c r="Y10" s="64"/>
      <c r="Z10" s="64"/>
    </row>
    <row r="11" spans="1:26" ht="15.6">
      <c r="A11" s="78"/>
      <c r="B11" s="79" t="s">
        <v>79</v>
      </c>
      <c r="C11" s="79"/>
      <c r="D11" s="80"/>
      <c r="E11" s="81">
        <f t="shared" ref="E11:G11" si="4">SUM(E5:E10)</f>
        <v>28700000</v>
      </c>
      <c r="F11" s="81">
        <f t="shared" si="4"/>
        <v>26200000</v>
      </c>
      <c r="G11" s="82">
        <f t="shared" si="4"/>
        <v>12</v>
      </c>
      <c r="H11" s="81"/>
      <c r="I11" s="81"/>
      <c r="J11" s="81"/>
      <c r="K11" s="81">
        <f>SUM(K5:K9)</f>
        <v>3200000</v>
      </c>
      <c r="L11" s="81"/>
      <c r="M11" s="81">
        <f t="shared" ref="M11:P11" si="5">SUM(M5:M10)</f>
        <v>1200000</v>
      </c>
      <c r="N11" s="78">
        <f t="shared" si="5"/>
        <v>0</v>
      </c>
      <c r="O11" s="78">
        <f t="shared" si="5"/>
        <v>400000</v>
      </c>
      <c r="P11" s="81">
        <f t="shared" si="5"/>
        <v>1050000</v>
      </c>
      <c r="Q11" s="81">
        <f t="shared" ref="Q11:S11" si="6">SUM(Q5:Q9)</f>
        <v>32050000</v>
      </c>
      <c r="R11" s="81">
        <f t="shared" si="6"/>
        <v>0</v>
      </c>
      <c r="S11" s="78">
        <f t="shared" si="6"/>
        <v>32050000</v>
      </c>
      <c r="T11" s="78"/>
      <c r="U11" s="83"/>
      <c r="V11" s="84"/>
      <c r="W11" s="84"/>
      <c r="X11" s="84"/>
      <c r="Y11" s="84"/>
      <c r="Z11" s="84"/>
    </row>
    <row r="12" spans="1:26" ht="13.8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3.8">
      <c r="A13" s="157" t="s">
        <v>39</v>
      </c>
      <c r="B13" s="158"/>
      <c r="C13" s="158"/>
      <c r="D13" s="158"/>
      <c r="E13" s="159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3.8">
      <c r="A14" s="160" t="str">
        <f>A1</f>
        <v>K10: A18 PHẠM HÙNG, BÌNH CHÁNH</v>
      </c>
      <c r="B14" s="161"/>
      <c r="C14" s="161"/>
      <c r="D14" s="161"/>
      <c r="E14" s="162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5" customHeight="1">
      <c r="A15" s="163" t="s">
        <v>40</v>
      </c>
      <c r="B15" s="34" t="s">
        <v>41</v>
      </c>
      <c r="C15" s="34" t="s">
        <v>42</v>
      </c>
      <c r="D15" s="34" t="s">
        <v>43</v>
      </c>
      <c r="E15" s="34" t="s">
        <v>44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41.4">
      <c r="A16" s="164"/>
      <c r="B16" s="35" t="s">
        <v>45</v>
      </c>
      <c r="C16" s="36">
        <f>F11</f>
        <v>26200000</v>
      </c>
      <c r="D16" s="36">
        <v>15000000</v>
      </c>
      <c r="E16" s="36">
        <f t="shared" ref="E16:E24" si="7">C16-D16</f>
        <v>11200000</v>
      </c>
      <c r="F16" s="37" t="s">
        <v>80</v>
      </c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3.8">
      <c r="A17" s="164"/>
      <c r="B17" s="38" t="s">
        <v>66</v>
      </c>
      <c r="C17" s="36">
        <f>K11</f>
        <v>3200000</v>
      </c>
      <c r="D17" s="39">
        <v>2789705</v>
      </c>
      <c r="E17" s="36">
        <f t="shared" si="7"/>
        <v>410295</v>
      </c>
      <c r="F17" s="37" t="s">
        <v>81</v>
      </c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41.4">
      <c r="A18" s="164"/>
      <c r="B18" s="35" t="s">
        <v>49</v>
      </c>
      <c r="C18" s="36">
        <f>M11</f>
        <v>1200000</v>
      </c>
      <c r="D18" s="39">
        <v>840168</v>
      </c>
      <c r="E18" s="36">
        <f t="shared" si="7"/>
        <v>359832</v>
      </c>
      <c r="F18" s="37" t="s">
        <v>82</v>
      </c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27.6">
      <c r="A19" s="164"/>
      <c r="B19" s="42" t="s">
        <v>51</v>
      </c>
      <c r="C19" s="36">
        <f>N11</f>
        <v>0</v>
      </c>
      <c r="D19" s="41">
        <v>299000</v>
      </c>
      <c r="E19" s="36">
        <f t="shared" si="7"/>
        <v>-299000</v>
      </c>
      <c r="F19" s="37" t="s">
        <v>83</v>
      </c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3.8">
      <c r="A20" s="164"/>
      <c r="B20" s="43" t="s">
        <v>52</v>
      </c>
      <c r="C20" s="36">
        <f>O11</f>
        <v>400000</v>
      </c>
      <c r="D20" s="85">
        <v>0</v>
      </c>
      <c r="E20" s="36">
        <f t="shared" si="7"/>
        <v>400000</v>
      </c>
      <c r="F20" s="86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5.75" customHeight="1">
      <c r="A21" s="164"/>
      <c r="B21" s="43" t="s">
        <v>53</v>
      </c>
      <c r="C21" s="36"/>
      <c r="D21" s="85">
        <v>0</v>
      </c>
      <c r="E21" s="36">
        <f t="shared" si="7"/>
        <v>0</v>
      </c>
      <c r="F21" s="86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5.75" customHeight="1">
      <c r="A22" s="164"/>
      <c r="B22" s="87" t="s">
        <v>54</v>
      </c>
      <c r="C22" s="88">
        <v>0</v>
      </c>
      <c r="D22" s="88">
        <v>2000000</v>
      </c>
      <c r="E22" s="88">
        <f t="shared" si="7"/>
        <v>-2000000</v>
      </c>
      <c r="F22" s="37" t="s">
        <v>84</v>
      </c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5.75" customHeight="1">
      <c r="A23" s="164"/>
      <c r="B23" s="87" t="s">
        <v>55</v>
      </c>
      <c r="C23" s="88">
        <f>P11</f>
        <v>1050000</v>
      </c>
      <c r="D23" s="88">
        <v>500000</v>
      </c>
      <c r="E23" s="88">
        <f t="shared" si="7"/>
        <v>550000</v>
      </c>
      <c r="F23" s="37" t="s">
        <v>84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5.75" customHeight="1">
      <c r="A24" s="164"/>
      <c r="B24" s="87" t="s">
        <v>85</v>
      </c>
      <c r="C24" s="88">
        <v>0</v>
      </c>
      <c r="D24" s="88">
        <v>500000</v>
      </c>
      <c r="E24" s="88">
        <f t="shared" si="7"/>
        <v>-500000</v>
      </c>
      <c r="F24" s="37" t="s">
        <v>84</v>
      </c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5.75" customHeight="1">
      <c r="A25" s="153"/>
      <c r="B25" s="28" t="s">
        <v>57</v>
      </c>
      <c r="C25" s="48">
        <f t="shared" ref="C25:E25" si="8">SUM(C16:C24)</f>
        <v>32050000</v>
      </c>
      <c r="D25" s="48">
        <f t="shared" si="8"/>
        <v>21928873</v>
      </c>
      <c r="E25" s="48">
        <f t="shared" si="8"/>
        <v>10121127</v>
      </c>
      <c r="F25" s="89">
        <f>E25/C25</f>
        <v>0.31579179407176289</v>
      </c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5.75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5.75" customHeight="1" outlineLevel="1">
      <c r="A27" s="165" t="s">
        <v>58</v>
      </c>
      <c r="B27" s="166"/>
      <c r="C27" s="166"/>
      <c r="D27" s="166"/>
      <c r="E27" s="90">
        <v>150000000</v>
      </c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5.75" customHeight="1" outlineLevel="1">
      <c r="A28" s="91"/>
      <c r="B28" s="91"/>
      <c r="C28" s="91"/>
      <c r="D28" s="91"/>
      <c r="E28" s="89">
        <f>E25/E27</f>
        <v>6.7474179999999995E-2</v>
      </c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5.75" customHeight="1" outlineLevel="1">
      <c r="A29" s="165" t="s">
        <v>86</v>
      </c>
      <c r="B29" s="166"/>
      <c r="C29" s="166"/>
      <c r="D29" s="166"/>
      <c r="E29" s="92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5.75" customHeight="1" outlineLevel="1">
      <c r="A30" s="165" t="s">
        <v>87</v>
      </c>
      <c r="B30" s="166"/>
      <c r="C30" s="166"/>
      <c r="D30" s="166"/>
      <c r="E30" s="92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5.7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5.75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5.75" customHeight="1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5.75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5.75" customHeight="1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5.7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5.75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5.7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5.7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5.7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5.7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5.7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5.7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5.7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5.7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5.7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5.7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5.7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5.7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5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5.7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5.7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5.7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5.7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5.7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5.7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5.7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5.7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5.7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5.7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5.7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5.7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5.7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5.7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5.7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5.7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5.7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5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5.7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5.7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5.7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5.7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5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5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5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5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5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5.7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5.7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5.7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5.7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5.7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5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5.7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5.7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5.7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5.7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5.7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5.7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5.7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5.7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5.7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5.7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5.7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5.7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5.7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5.7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5.7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5.7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5.7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5.7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5.7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5.7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5.7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5.7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5.7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5.7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5.7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5.7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5.7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5.7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5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5.7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5.7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5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5.7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5.7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5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5.7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5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5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5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5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5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5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5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5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5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5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5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5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5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5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5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5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5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5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5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5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5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5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5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5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5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5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5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5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5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5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5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5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5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5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5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5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5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5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5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5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5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5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5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5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5.7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5.7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5.7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5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5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5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5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5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5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5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5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5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5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5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5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5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5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5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5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5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5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5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5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5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5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5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5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5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5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5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5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5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5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5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5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5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5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5.7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5.7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5.7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5.7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5.7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5.7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5.7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5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5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5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5.7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5.7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5.7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5.7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5.7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5.7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5.7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5.7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5.7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5.7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5.7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5.7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5.7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5.7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5.7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5.7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5.7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5.7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5.7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5.7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5.7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5.7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5.7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5.7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5.7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5.7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5.7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5.7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5.7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5.7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5.7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5.7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5.7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5.7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5.7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5.7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5.7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5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5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5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5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5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5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5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5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5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5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5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5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5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5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5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5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5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5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5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5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5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5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5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5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5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5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5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5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5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5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5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5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5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5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5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5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5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5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5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5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5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5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5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5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5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5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5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5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5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5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5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5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5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5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5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5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5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5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5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5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5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5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5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5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5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5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5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5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5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5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5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5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5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5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5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5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5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5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5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5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5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5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5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5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5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5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5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5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5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5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5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5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5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5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5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5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5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5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5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5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5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5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5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5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5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5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5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5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5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5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5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5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5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5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5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5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5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5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5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5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5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5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5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5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5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5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5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5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5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5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5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5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5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5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5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5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5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5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5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5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5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5.7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5.7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5.7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5.7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5.7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5.7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5.7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5.7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5.7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5.7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5.7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5.7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5.7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5.7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5.7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5.7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5.7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5.7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5.7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5.7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5.7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5.7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5.7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5.7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5.7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5.7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5.7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5.7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5.7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5.7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5.7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5.7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5.7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5.7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5.7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5.7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5.7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5.7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5.7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5.7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5.7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5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5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5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5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5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5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5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5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5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5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5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5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5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5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5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5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5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5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5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5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5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5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5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5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5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5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5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5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5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5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5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5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5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5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5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5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5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5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5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5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5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5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5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5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5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5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5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5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5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5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5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5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5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5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5.7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mergeCells count="24"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O3:O4"/>
    <mergeCell ref="P3:P4"/>
    <mergeCell ref="Q3:Q4"/>
    <mergeCell ref="R3:R4"/>
    <mergeCell ref="S3:S4"/>
    <mergeCell ref="A27:D27"/>
    <mergeCell ref="A29:D29"/>
    <mergeCell ref="A30:D30"/>
    <mergeCell ref="L3:M3"/>
    <mergeCell ref="N3:N4"/>
    <mergeCell ref="G3:G4"/>
    <mergeCell ref="H3:K3"/>
    <mergeCell ref="A13:E13"/>
    <mergeCell ref="A14:E14"/>
    <mergeCell ref="A15:A25"/>
  </mergeCell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4"/>
  <sheetViews>
    <sheetView workbookViewId="0">
      <selection activeCell="U3" sqref="U3:U4"/>
    </sheetView>
  </sheetViews>
  <sheetFormatPr defaultColWidth="12.59765625" defaultRowHeight="15" customHeight="1" outlineLevelRow="1"/>
  <cols>
    <col min="1" max="1" width="7.19921875" customWidth="1"/>
    <col min="2" max="2" width="18.8984375" customWidth="1"/>
    <col min="3" max="3" width="12.59765625" customWidth="1"/>
    <col min="4" max="4" width="17.59765625" customWidth="1"/>
    <col min="5" max="6" width="12.59765625" customWidth="1"/>
    <col min="7" max="9" width="7" customWidth="1"/>
    <col min="10" max="13" width="10.09765625" customWidth="1"/>
    <col min="14" max="14" width="7" customWidth="1"/>
    <col min="15" max="18" width="10.09765625" customWidth="1"/>
    <col min="19" max="19" width="12.59765625" customWidth="1"/>
    <col min="20" max="20" width="15.09765625" customWidth="1"/>
    <col min="21" max="21" width="29.5" customWidth="1"/>
    <col min="22" max="27" width="7.59765625" customWidth="1"/>
  </cols>
  <sheetData>
    <row r="1" spans="1:27" ht="13.8">
      <c r="A1" s="16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9"/>
      <c r="V1" s="1"/>
      <c r="W1" s="1"/>
      <c r="X1" s="1"/>
      <c r="Y1" s="1"/>
      <c r="Z1" s="1"/>
      <c r="AA1" s="1"/>
    </row>
    <row r="2" spans="1:27" ht="13.8">
      <c r="A2" s="168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2"/>
      <c r="V2" s="1"/>
      <c r="W2" s="1"/>
      <c r="X2" s="1"/>
      <c r="Y2" s="1"/>
      <c r="Z2" s="1"/>
      <c r="AA2" s="1"/>
    </row>
    <row r="3" spans="1:27" ht="13.8">
      <c r="A3" s="152" t="s">
        <v>1</v>
      </c>
      <c r="B3" s="152" t="s">
        <v>2</v>
      </c>
      <c r="C3" s="152" t="s">
        <v>3</v>
      </c>
      <c r="D3" s="152" t="s">
        <v>4</v>
      </c>
      <c r="E3" s="152" t="s">
        <v>5</v>
      </c>
      <c r="F3" s="152" t="s">
        <v>6</v>
      </c>
      <c r="G3" s="152" t="s">
        <v>7</v>
      </c>
      <c r="H3" s="154" t="s">
        <v>8</v>
      </c>
      <c r="I3" s="155"/>
      <c r="J3" s="155"/>
      <c r="K3" s="156"/>
      <c r="L3" s="154" t="s">
        <v>9</v>
      </c>
      <c r="M3" s="156"/>
      <c r="N3" s="152" t="s">
        <v>10</v>
      </c>
      <c r="O3" s="152" t="s">
        <v>11</v>
      </c>
      <c r="P3" s="152" t="s">
        <v>12</v>
      </c>
      <c r="Q3" s="152" t="s">
        <v>13</v>
      </c>
      <c r="R3" s="152" t="s">
        <v>14</v>
      </c>
      <c r="S3" s="152" t="s">
        <v>15</v>
      </c>
      <c r="T3" s="152" t="s">
        <v>16</v>
      </c>
      <c r="U3" s="152" t="s">
        <v>17</v>
      </c>
      <c r="V3" s="2"/>
      <c r="W3" s="2"/>
      <c r="X3" s="2"/>
      <c r="Y3" s="2"/>
      <c r="Z3" s="2"/>
      <c r="AA3" s="2"/>
    </row>
    <row r="4" spans="1:27" ht="26.4">
      <c r="A4" s="153"/>
      <c r="B4" s="153"/>
      <c r="C4" s="153"/>
      <c r="D4" s="153"/>
      <c r="E4" s="153"/>
      <c r="F4" s="153"/>
      <c r="G4" s="153"/>
      <c r="H4" s="3" t="s">
        <v>18</v>
      </c>
      <c r="I4" s="3" t="s">
        <v>19</v>
      </c>
      <c r="J4" s="4" t="s">
        <v>20</v>
      </c>
      <c r="K4" s="3" t="s">
        <v>21</v>
      </c>
      <c r="L4" s="4" t="s">
        <v>22</v>
      </c>
      <c r="M4" s="3" t="s">
        <v>21</v>
      </c>
      <c r="N4" s="153"/>
      <c r="O4" s="153"/>
      <c r="P4" s="153"/>
      <c r="Q4" s="153"/>
      <c r="R4" s="153"/>
      <c r="S4" s="153"/>
      <c r="T4" s="153"/>
      <c r="U4" s="153"/>
      <c r="V4" s="2"/>
      <c r="W4" s="2"/>
      <c r="X4" s="2"/>
      <c r="Y4" s="2"/>
      <c r="Z4" s="2"/>
      <c r="AA4" s="2"/>
    </row>
    <row r="5" spans="1:27" ht="13.8">
      <c r="A5" s="21" t="s">
        <v>23</v>
      </c>
      <c r="B5" s="67" t="s">
        <v>24</v>
      </c>
      <c r="C5" s="68" t="s">
        <v>72</v>
      </c>
      <c r="D5" s="69" t="s">
        <v>25</v>
      </c>
      <c r="E5" s="9">
        <v>6000000</v>
      </c>
      <c r="F5" s="9">
        <v>5500000</v>
      </c>
      <c r="G5" s="70">
        <v>2</v>
      </c>
      <c r="H5" s="9">
        <v>3960</v>
      </c>
      <c r="I5" s="9">
        <v>4202</v>
      </c>
      <c r="J5" s="9">
        <v>4000</v>
      </c>
      <c r="K5" s="9">
        <f t="shared" ref="K5:K9" si="0">(I5-H5)*J5</f>
        <v>968000</v>
      </c>
      <c r="L5" s="9">
        <v>100000</v>
      </c>
      <c r="M5" s="9">
        <f t="shared" ref="M5:M9" si="1">L5*G5</f>
        <v>200000</v>
      </c>
      <c r="N5" s="12">
        <v>0</v>
      </c>
      <c r="O5" s="12">
        <v>0</v>
      </c>
      <c r="P5" s="9">
        <v>200000</v>
      </c>
      <c r="Q5" s="9">
        <f>F5+K5+M5+O5+P5</f>
        <v>6868000</v>
      </c>
      <c r="R5" s="13"/>
      <c r="S5" s="67">
        <f t="shared" ref="S5:S9" si="2">Q5-R5</f>
        <v>6868000</v>
      </c>
      <c r="T5" s="93">
        <f t="shared" ref="T5:T8" si="3">S5</f>
        <v>6868000</v>
      </c>
      <c r="U5" s="93" t="s">
        <v>88</v>
      </c>
      <c r="V5" s="1"/>
      <c r="W5" s="1"/>
      <c r="X5" s="1"/>
      <c r="Y5" s="1"/>
      <c r="Z5" s="1"/>
      <c r="AA5" s="1"/>
    </row>
    <row r="6" spans="1:27" ht="13.8">
      <c r="A6" s="21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9">
        <v>1072</v>
      </c>
      <c r="I6" s="9">
        <v>1184</v>
      </c>
      <c r="J6" s="21">
        <v>4000</v>
      </c>
      <c r="K6" s="68">
        <f t="shared" si="0"/>
        <v>448000</v>
      </c>
      <c r="L6" s="9">
        <v>100000</v>
      </c>
      <c r="M6" s="9">
        <f t="shared" si="1"/>
        <v>300000</v>
      </c>
      <c r="N6" s="22">
        <v>0</v>
      </c>
      <c r="O6" s="21">
        <v>200000</v>
      </c>
      <c r="P6" s="21">
        <v>250000</v>
      </c>
      <c r="Q6" s="9">
        <f t="shared" ref="Q6:Q7" si="4">F6+K6+M6+P6+O6</f>
        <v>6298000</v>
      </c>
      <c r="R6" s="21"/>
      <c r="S6" s="67">
        <f t="shared" si="2"/>
        <v>6298000</v>
      </c>
      <c r="T6" s="25">
        <f t="shared" si="3"/>
        <v>6298000</v>
      </c>
      <c r="U6" s="25" t="s">
        <v>89</v>
      </c>
      <c r="V6" s="1"/>
      <c r="W6" s="1"/>
      <c r="X6" s="1"/>
      <c r="Y6" s="1"/>
      <c r="Z6" s="1"/>
      <c r="AA6" s="1"/>
    </row>
    <row r="7" spans="1:27" ht="13.8">
      <c r="A7" s="21">
        <v>102</v>
      </c>
      <c r="B7" s="67" t="s">
        <v>30</v>
      </c>
      <c r="C7" s="68" t="s">
        <v>75</v>
      </c>
      <c r="D7" s="73" t="s">
        <v>31</v>
      </c>
      <c r="E7" s="23">
        <v>5500000</v>
      </c>
      <c r="F7" s="23">
        <v>5000000</v>
      </c>
      <c r="G7" s="74">
        <v>2</v>
      </c>
      <c r="H7" s="9">
        <v>2846</v>
      </c>
      <c r="I7" s="9">
        <v>3171</v>
      </c>
      <c r="J7" s="23">
        <v>4000</v>
      </c>
      <c r="K7" s="68">
        <f t="shared" si="0"/>
        <v>1300000</v>
      </c>
      <c r="L7" s="9">
        <v>100000</v>
      </c>
      <c r="M7" s="9">
        <f t="shared" si="1"/>
        <v>200000</v>
      </c>
      <c r="N7" s="22">
        <v>0</v>
      </c>
      <c r="O7" s="22">
        <v>0</v>
      </c>
      <c r="P7" s="23">
        <v>200000</v>
      </c>
      <c r="Q7" s="9">
        <f t="shared" si="4"/>
        <v>6700000</v>
      </c>
      <c r="R7" s="21"/>
      <c r="S7" s="67">
        <f t="shared" si="2"/>
        <v>6700000</v>
      </c>
      <c r="T7" s="94">
        <f t="shared" si="3"/>
        <v>6700000</v>
      </c>
      <c r="U7" s="94" t="s">
        <v>90</v>
      </c>
      <c r="V7" s="1"/>
      <c r="W7" s="1"/>
      <c r="X7" s="1"/>
      <c r="Y7" s="1"/>
      <c r="Z7" s="1"/>
      <c r="AA7" s="1"/>
    </row>
    <row r="8" spans="1:27" ht="13.8">
      <c r="A8" s="21">
        <v>201</v>
      </c>
      <c r="B8" s="67" t="s">
        <v>33</v>
      </c>
      <c r="C8" s="66" t="s">
        <v>77</v>
      </c>
      <c r="D8" s="73" t="s">
        <v>34</v>
      </c>
      <c r="E8" s="23">
        <v>5900000</v>
      </c>
      <c r="F8" s="23">
        <v>5400000</v>
      </c>
      <c r="G8" s="74">
        <v>2</v>
      </c>
      <c r="H8" s="9">
        <v>1031</v>
      </c>
      <c r="I8" s="9">
        <v>1145</v>
      </c>
      <c r="J8" s="23">
        <v>4000</v>
      </c>
      <c r="K8" s="68">
        <f t="shared" si="0"/>
        <v>456000</v>
      </c>
      <c r="L8" s="9">
        <v>100000</v>
      </c>
      <c r="M8" s="9">
        <f t="shared" si="1"/>
        <v>200000</v>
      </c>
      <c r="N8" s="22">
        <v>0</v>
      </c>
      <c r="O8" s="22">
        <v>0</v>
      </c>
      <c r="P8" s="23">
        <v>200000</v>
      </c>
      <c r="Q8" s="9">
        <f>F8+K8+M8+O8+P8</f>
        <v>6256000</v>
      </c>
      <c r="R8" s="21"/>
      <c r="S8" s="67">
        <f t="shared" si="2"/>
        <v>6256000</v>
      </c>
      <c r="T8" s="25">
        <f t="shared" si="3"/>
        <v>6256000</v>
      </c>
      <c r="U8" s="25" t="s">
        <v>91</v>
      </c>
      <c r="V8" s="1"/>
      <c r="W8" s="1"/>
      <c r="X8" s="1"/>
      <c r="Y8" s="1"/>
      <c r="Z8" s="1"/>
      <c r="AA8" s="1"/>
    </row>
    <row r="9" spans="1:27" ht="55.2">
      <c r="A9" s="21">
        <v>202</v>
      </c>
      <c r="B9" s="95" t="s">
        <v>92</v>
      </c>
      <c r="C9" s="96" t="s">
        <v>93</v>
      </c>
      <c r="D9" s="97" t="s">
        <v>94</v>
      </c>
      <c r="E9" s="23">
        <v>5100000</v>
      </c>
      <c r="F9" s="22">
        <v>4130000</v>
      </c>
      <c r="G9" s="98">
        <v>1</v>
      </c>
      <c r="H9" s="9">
        <v>1096</v>
      </c>
      <c r="I9" s="9">
        <v>1225</v>
      </c>
      <c r="J9" s="23">
        <v>4000</v>
      </c>
      <c r="K9" s="68">
        <f t="shared" si="0"/>
        <v>516000</v>
      </c>
      <c r="L9" s="9">
        <v>100000</v>
      </c>
      <c r="M9" s="9">
        <f t="shared" si="1"/>
        <v>100000</v>
      </c>
      <c r="N9" s="22">
        <v>0</v>
      </c>
      <c r="O9" s="22">
        <v>0</v>
      </c>
      <c r="P9" s="23">
        <v>200000</v>
      </c>
      <c r="Q9" s="9">
        <f>F9+K9+M9+P9+O9</f>
        <v>4946000</v>
      </c>
      <c r="R9" s="21"/>
      <c r="S9" s="67">
        <f t="shared" si="2"/>
        <v>4946000</v>
      </c>
      <c r="T9" s="94">
        <f>4646000+5100000*20%</f>
        <v>5666000</v>
      </c>
      <c r="U9" s="191" t="s">
        <v>95</v>
      </c>
      <c r="V9" s="1"/>
      <c r="W9" s="1"/>
      <c r="X9" s="1"/>
      <c r="Y9" s="1"/>
      <c r="Z9" s="1"/>
      <c r="AA9" s="1"/>
    </row>
    <row r="10" spans="1:27" ht="13.8">
      <c r="A10" s="28"/>
      <c r="B10" s="99" t="s">
        <v>79</v>
      </c>
      <c r="C10" s="99"/>
      <c r="D10" s="30"/>
      <c r="E10" s="31">
        <f t="shared" ref="E10:G10" si="5">SUM(E5:E9)</f>
        <v>28100000</v>
      </c>
      <c r="F10" s="31">
        <f t="shared" si="5"/>
        <v>25130000</v>
      </c>
      <c r="G10" s="32">
        <f t="shared" si="5"/>
        <v>10</v>
      </c>
      <c r="H10" s="31"/>
      <c r="I10" s="31"/>
      <c r="J10" s="31"/>
      <c r="K10" s="31">
        <f>SUM(K5:K9)</f>
        <v>3688000</v>
      </c>
      <c r="L10" s="31"/>
      <c r="M10" s="31">
        <f t="shared" ref="M10:T10" si="6">SUM(M5:M9)</f>
        <v>1000000</v>
      </c>
      <c r="N10" s="28">
        <f t="shared" si="6"/>
        <v>0</v>
      </c>
      <c r="O10" s="28">
        <f t="shared" si="6"/>
        <v>200000</v>
      </c>
      <c r="P10" s="31">
        <f t="shared" si="6"/>
        <v>1050000</v>
      </c>
      <c r="Q10" s="31">
        <f t="shared" si="6"/>
        <v>31068000</v>
      </c>
      <c r="R10" s="31">
        <f t="shared" si="6"/>
        <v>0</v>
      </c>
      <c r="S10" s="28">
        <f t="shared" si="6"/>
        <v>31068000</v>
      </c>
      <c r="T10" s="28">
        <f t="shared" si="6"/>
        <v>31788000</v>
      </c>
      <c r="U10" s="28"/>
      <c r="V10" s="1"/>
      <c r="W10" s="1"/>
      <c r="X10" s="1"/>
      <c r="Y10" s="1"/>
      <c r="Z10" s="1"/>
      <c r="AA10" s="1"/>
    </row>
    <row r="11" spans="1:27" ht="13.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8">
      <c r="A12" s="157" t="s">
        <v>39</v>
      </c>
      <c r="B12" s="158"/>
      <c r="C12" s="158"/>
      <c r="D12" s="158"/>
      <c r="E12" s="159"/>
      <c r="F12" s="3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68"/>
      <c r="B13" s="161"/>
      <c r="C13" s="161"/>
      <c r="D13" s="161"/>
      <c r="E13" s="162"/>
      <c r="F13" s="3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63" t="s">
        <v>40</v>
      </c>
      <c r="B14" s="34" t="s">
        <v>41</v>
      </c>
      <c r="C14" s="34" t="s">
        <v>42</v>
      </c>
      <c r="D14" s="34" t="s">
        <v>43</v>
      </c>
      <c r="E14" s="34" t="s">
        <v>44</v>
      </c>
      <c r="F14" s="3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64"/>
      <c r="B15" s="100" t="s">
        <v>45</v>
      </c>
      <c r="C15" s="101">
        <f>F10</f>
        <v>25130000</v>
      </c>
      <c r="D15" s="101">
        <v>15000000</v>
      </c>
      <c r="E15" s="101">
        <f t="shared" ref="E15:E24" si="7">C15-D15</f>
        <v>10130000</v>
      </c>
      <c r="F15" s="102" t="s">
        <v>96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64"/>
      <c r="B16" s="100" t="s">
        <v>97</v>
      </c>
      <c r="C16" s="101">
        <f>K10</f>
        <v>3688000</v>
      </c>
      <c r="D16" s="103">
        <v>3254000</v>
      </c>
      <c r="E16" s="101">
        <f t="shared" si="7"/>
        <v>434000</v>
      </c>
      <c r="F16" s="104" t="s">
        <v>98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64"/>
      <c r="B17" s="100" t="s">
        <v>49</v>
      </c>
      <c r="C17" s="101">
        <f>M10</f>
        <v>1000000</v>
      </c>
      <c r="D17" s="103">
        <v>864000</v>
      </c>
      <c r="E17" s="101">
        <f t="shared" si="7"/>
        <v>136000</v>
      </c>
      <c r="F17" s="104" t="s">
        <v>99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164"/>
      <c r="B18" s="105" t="s">
        <v>100</v>
      </c>
      <c r="C18" s="101"/>
      <c r="D18" s="103">
        <v>300000</v>
      </c>
      <c r="E18" s="101">
        <f t="shared" si="7"/>
        <v>-300000</v>
      </c>
      <c r="F18" s="104" t="s">
        <v>98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64"/>
      <c r="B19" s="106" t="s">
        <v>52</v>
      </c>
      <c r="C19" s="101">
        <f>O10</f>
        <v>200000</v>
      </c>
      <c r="D19" s="103">
        <v>0</v>
      </c>
      <c r="E19" s="101">
        <f t="shared" si="7"/>
        <v>200000</v>
      </c>
      <c r="F19" s="3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64"/>
      <c r="B20" s="106" t="s">
        <v>53</v>
      </c>
      <c r="C20" s="101">
        <f>T10-S10</f>
        <v>720000</v>
      </c>
      <c r="D20" s="103">
        <v>0</v>
      </c>
      <c r="E20" s="101">
        <f t="shared" si="7"/>
        <v>720000</v>
      </c>
      <c r="F20" s="4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64"/>
      <c r="B21" s="107" t="s">
        <v>54</v>
      </c>
      <c r="C21" s="101"/>
      <c r="D21" s="103">
        <v>2000000</v>
      </c>
      <c r="E21" s="101">
        <f t="shared" si="7"/>
        <v>-2000000</v>
      </c>
      <c r="F21" s="44" t="s">
        <v>84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64"/>
      <c r="B22" s="107" t="s">
        <v>55</v>
      </c>
      <c r="C22" s="101">
        <f>P10</f>
        <v>1050000</v>
      </c>
      <c r="D22" s="101">
        <v>500000</v>
      </c>
      <c r="E22" s="101">
        <f t="shared" si="7"/>
        <v>550000</v>
      </c>
      <c r="F22" s="44" t="s">
        <v>84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64"/>
      <c r="B23" s="107" t="s">
        <v>56</v>
      </c>
      <c r="C23" s="101"/>
      <c r="D23" s="101">
        <v>500000</v>
      </c>
      <c r="E23" s="101">
        <f t="shared" si="7"/>
        <v>-500000</v>
      </c>
      <c r="F23" s="44" t="s">
        <v>84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53"/>
      <c r="B24" s="28" t="s">
        <v>57</v>
      </c>
      <c r="C24" s="48">
        <f t="shared" ref="C24:D24" si="8">SUM(C15:C23)</f>
        <v>31788000</v>
      </c>
      <c r="D24" s="48">
        <f t="shared" si="8"/>
        <v>22418000</v>
      </c>
      <c r="E24" s="48">
        <f t="shared" si="7"/>
        <v>9370000</v>
      </c>
      <c r="F24" s="3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outlineLevel="1">
      <c r="A26" s="165" t="s">
        <v>58</v>
      </c>
      <c r="B26" s="166"/>
      <c r="C26" s="166"/>
      <c r="D26" s="166"/>
      <c r="E26" s="50">
        <v>150000000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outlineLevel="1">
      <c r="A27" s="51"/>
      <c r="B27" s="51"/>
      <c r="C27" s="51"/>
      <c r="D27" s="51"/>
      <c r="E27" s="52">
        <f>E24/E26</f>
        <v>6.2466666666666663E-2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</sheetData>
  <mergeCells count="21">
    <mergeCell ref="R3:R4"/>
    <mergeCell ref="S3:S4"/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L3:M3"/>
    <mergeCell ref="N3:N4"/>
    <mergeCell ref="O3:O4"/>
    <mergeCell ref="P3:P4"/>
    <mergeCell ref="Q3:Q4"/>
    <mergeCell ref="G3:G4"/>
    <mergeCell ref="H3:K3"/>
    <mergeCell ref="A12:E13"/>
    <mergeCell ref="A14:A24"/>
    <mergeCell ref="A26:D2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2.09765625" customWidth="1"/>
    <col min="21" max="26" width="7.59765625" customWidth="1"/>
  </cols>
  <sheetData>
    <row r="1" spans="1:20" ht="13.8">
      <c r="A1" s="189" t="s">
        <v>101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8"/>
    </row>
    <row r="2" spans="1:20" ht="13.8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1"/>
    </row>
    <row r="3" spans="1:20" ht="13.8">
      <c r="A3" s="171" t="s">
        <v>1</v>
      </c>
      <c r="B3" s="171" t="s">
        <v>2</v>
      </c>
      <c r="C3" s="171" t="s">
        <v>3</v>
      </c>
      <c r="D3" s="171" t="s">
        <v>4</v>
      </c>
      <c r="E3" s="171" t="s">
        <v>5</v>
      </c>
      <c r="F3" s="171" t="s">
        <v>6</v>
      </c>
      <c r="G3" s="171" t="s">
        <v>7</v>
      </c>
      <c r="H3" s="173" t="s">
        <v>8</v>
      </c>
      <c r="I3" s="174"/>
      <c r="J3" s="174"/>
      <c r="K3" s="175"/>
      <c r="L3" s="173" t="s">
        <v>9</v>
      </c>
      <c r="M3" s="186"/>
      <c r="N3" s="187" t="s">
        <v>10</v>
      </c>
      <c r="O3" s="171" t="s">
        <v>11</v>
      </c>
      <c r="P3" s="171" t="s">
        <v>12</v>
      </c>
      <c r="Q3" s="171" t="s">
        <v>13</v>
      </c>
      <c r="R3" s="171" t="s">
        <v>14</v>
      </c>
      <c r="S3" s="171" t="s">
        <v>15</v>
      </c>
      <c r="T3" s="171" t="s">
        <v>17</v>
      </c>
    </row>
    <row r="4" spans="1:20" ht="13.8">
      <c r="A4" s="172"/>
      <c r="B4" s="172"/>
      <c r="C4" s="172"/>
      <c r="D4" s="172"/>
      <c r="E4" s="172"/>
      <c r="F4" s="172"/>
      <c r="G4" s="172"/>
      <c r="H4" s="108" t="s">
        <v>18</v>
      </c>
      <c r="I4" s="108" t="s">
        <v>19</v>
      </c>
      <c r="J4" s="108" t="s">
        <v>70</v>
      </c>
      <c r="K4" s="109" t="s">
        <v>21</v>
      </c>
      <c r="L4" s="108" t="s">
        <v>71</v>
      </c>
      <c r="M4" s="110" t="s">
        <v>21</v>
      </c>
      <c r="N4" s="188"/>
      <c r="O4" s="172"/>
      <c r="P4" s="172"/>
      <c r="Q4" s="172"/>
      <c r="R4" s="172"/>
      <c r="S4" s="172"/>
      <c r="T4" s="172"/>
    </row>
    <row r="5" spans="1:20" ht="13.8">
      <c r="A5" s="111" t="s">
        <v>23</v>
      </c>
      <c r="B5" s="112" t="s">
        <v>102</v>
      </c>
      <c r="C5" s="113" t="s">
        <v>103</v>
      </c>
      <c r="D5" s="114" t="s">
        <v>28</v>
      </c>
      <c r="E5" s="115">
        <v>5900000</v>
      </c>
      <c r="F5" s="115">
        <v>5400000</v>
      </c>
      <c r="G5" s="116">
        <v>4</v>
      </c>
      <c r="H5" s="115">
        <v>10</v>
      </c>
      <c r="I5" s="115">
        <v>703</v>
      </c>
      <c r="J5" s="115">
        <v>4000</v>
      </c>
      <c r="K5" s="115">
        <f t="shared" ref="K5:K13" si="0">(I5-H5)*J5</f>
        <v>2772000</v>
      </c>
      <c r="L5" s="115">
        <v>100000</v>
      </c>
      <c r="M5" s="115">
        <f t="shared" ref="M5:M10" si="1">L5*G5</f>
        <v>400000</v>
      </c>
      <c r="N5" s="115"/>
      <c r="O5" s="115"/>
      <c r="P5" s="115">
        <v>300000</v>
      </c>
      <c r="Q5" s="115">
        <f>F5+K5+M5+O5+P5</f>
        <v>8872000</v>
      </c>
      <c r="R5" s="117"/>
      <c r="S5" s="118">
        <f t="shared" ref="S5:S13" si="2">Q5-R5</f>
        <v>8872000</v>
      </c>
      <c r="T5" s="119"/>
    </row>
    <row r="6" spans="1:20" ht="13.8">
      <c r="A6" s="120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115">
        <v>11</v>
      </c>
      <c r="I6" s="115">
        <v>138</v>
      </c>
      <c r="J6" s="21">
        <v>4000</v>
      </c>
      <c r="K6" s="113">
        <f t="shared" si="0"/>
        <v>508000</v>
      </c>
      <c r="L6" s="115">
        <v>100000</v>
      </c>
      <c r="M6" s="115">
        <f t="shared" si="1"/>
        <v>300000</v>
      </c>
      <c r="N6" s="23"/>
      <c r="O6" s="21">
        <v>200000</v>
      </c>
      <c r="P6" s="21">
        <v>250000</v>
      </c>
      <c r="Q6" s="115">
        <f t="shared" ref="Q6:Q7" si="3">F6+K6+M6+P6+O6</f>
        <v>6358000</v>
      </c>
      <c r="R6" s="21"/>
      <c r="S6" s="118">
        <f t="shared" si="2"/>
        <v>6358000</v>
      </c>
      <c r="T6" s="121"/>
    </row>
    <row r="7" spans="1:20" ht="13.8">
      <c r="A7" s="120">
        <v>102</v>
      </c>
      <c r="B7" s="67" t="s">
        <v>104</v>
      </c>
      <c r="C7" s="113" t="s">
        <v>105</v>
      </c>
      <c r="D7" s="73" t="s">
        <v>28</v>
      </c>
      <c r="E7" s="23">
        <v>5600000</v>
      </c>
      <c r="F7" s="23">
        <v>5100000</v>
      </c>
      <c r="G7" s="74">
        <v>3</v>
      </c>
      <c r="H7" s="115">
        <v>8</v>
      </c>
      <c r="I7" s="115">
        <v>185</v>
      </c>
      <c r="J7" s="23">
        <v>4000</v>
      </c>
      <c r="K7" s="113">
        <f t="shared" si="0"/>
        <v>708000</v>
      </c>
      <c r="L7" s="115">
        <v>100000</v>
      </c>
      <c r="M7" s="115">
        <f t="shared" si="1"/>
        <v>300000</v>
      </c>
      <c r="N7" s="23"/>
      <c r="O7" s="23">
        <v>300000</v>
      </c>
      <c r="P7" s="23">
        <v>250000</v>
      </c>
      <c r="Q7" s="115">
        <f t="shared" si="3"/>
        <v>6658000</v>
      </c>
      <c r="R7" s="21"/>
      <c r="S7" s="118">
        <f t="shared" si="2"/>
        <v>6658000</v>
      </c>
      <c r="T7" s="121"/>
    </row>
    <row r="8" spans="1:20" ht="13.8">
      <c r="A8" s="120">
        <v>201</v>
      </c>
      <c r="B8" s="67" t="s">
        <v>106</v>
      </c>
      <c r="C8" s="66" t="s">
        <v>107</v>
      </c>
      <c r="D8" s="73" t="s">
        <v>28</v>
      </c>
      <c r="E8" s="23">
        <v>5900000</v>
      </c>
      <c r="F8" s="23">
        <v>5400000</v>
      </c>
      <c r="G8" s="74">
        <v>2</v>
      </c>
      <c r="H8" s="115">
        <v>10</v>
      </c>
      <c r="I8" s="115">
        <v>89</v>
      </c>
      <c r="J8" s="23">
        <v>4000</v>
      </c>
      <c r="K8" s="113">
        <f t="shared" si="0"/>
        <v>316000</v>
      </c>
      <c r="L8" s="115">
        <v>100000</v>
      </c>
      <c r="M8" s="115">
        <f t="shared" si="1"/>
        <v>200000</v>
      </c>
      <c r="N8" s="23"/>
      <c r="O8" s="23">
        <v>200000</v>
      </c>
      <c r="P8" s="23">
        <v>200000</v>
      </c>
      <c r="Q8" s="115">
        <f>F8+K8+M8+O8+P8</f>
        <v>6316000</v>
      </c>
      <c r="R8" s="21"/>
      <c r="S8" s="118">
        <f t="shared" si="2"/>
        <v>6316000</v>
      </c>
      <c r="T8" s="121"/>
    </row>
    <row r="9" spans="1:20" ht="13.8">
      <c r="A9" s="120">
        <v>202</v>
      </c>
      <c r="B9" s="67" t="s">
        <v>108</v>
      </c>
      <c r="C9" s="66" t="s">
        <v>109</v>
      </c>
      <c r="D9" s="73" t="s">
        <v>110</v>
      </c>
      <c r="E9" s="23">
        <v>5000000</v>
      </c>
      <c r="F9" s="23">
        <v>5000000</v>
      </c>
      <c r="G9" s="74">
        <v>2</v>
      </c>
      <c r="H9" s="115">
        <v>6</v>
      </c>
      <c r="I9" s="115">
        <v>44</v>
      </c>
      <c r="J9" s="23">
        <v>4000</v>
      </c>
      <c r="K9" s="113">
        <f t="shared" si="0"/>
        <v>152000</v>
      </c>
      <c r="L9" s="115">
        <v>100000</v>
      </c>
      <c r="M9" s="115">
        <f t="shared" si="1"/>
        <v>200000</v>
      </c>
      <c r="N9" s="23"/>
      <c r="O9" s="23"/>
      <c r="P9" s="23">
        <v>200000</v>
      </c>
      <c r="Q9" s="115">
        <f t="shared" ref="Q9:Q10" si="4">F9+K9+M9+P9+O9</f>
        <v>5552000</v>
      </c>
      <c r="R9" s="21"/>
      <c r="S9" s="122">
        <f t="shared" si="2"/>
        <v>5552000</v>
      </c>
      <c r="T9" s="121"/>
    </row>
    <row r="10" spans="1:20" ht="13.8">
      <c r="A10" s="120"/>
      <c r="B10" s="67"/>
      <c r="C10" s="66"/>
      <c r="D10" s="73"/>
      <c r="E10" s="23"/>
      <c r="F10" s="23"/>
      <c r="G10" s="74"/>
      <c r="H10" s="115"/>
      <c r="I10" s="115"/>
      <c r="J10" s="23"/>
      <c r="K10" s="113">
        <f t="shared" si="0"/>
        <v>0</v>
      </c>
      <c r="L10" s="115"/>
      <c r="M10" s="115">
        <f t="shared" si="1"/>
        <v>0</v>
      </c>
      <c r="N10" s="23"/>
      <c r="O10" s="23"/>
      <c r="P10" s="23"/>
      <c r="Q10" s="115">
        <f t="shared" si="4"/>
        <v>0</v>
      </c>
      <c r="R10" s="21"/>
      <c r="S10" s="122">
        <f t="shared" si="2"/>
        <v>0</v>
      </c>
      <c r="T10" s="121"/>
    </row>
    <row r="11" spans="1:20" ht="13.8">
      <c r="A11" s="120"/>
      <c r="B11" s="67"/>
      <c r="C11" s="66"/>
      <c r="D11" s="73"/>
      <c r="E11" s="23"/>
      <c r="F11" s="23"/>
      <c r="G11" s="74"/>
      <c r="H11" s="115"/>
      <c r="I11" s="115"/>
      <c r="J11" s="23"/>
      <c r="K11" s="113">
        <f t="shared" si="0"/>
        <v>0</v>
      </c>
      <c r="L11" s="115"/>
      <c r="M11" s="115"/>
      <c r="N11" s="23"/>
      <c r="O11" s="23"/>
      <c r="P11" s="23"/>
      <c r="Q11" s="115">
        <f t="shared" ref="Q11:Q12" si="5">F11+K11+M11+O11+P11</f>
        <v>0</v>
      </c>
      <c r="R11" s="21"/>
      <c r="S11" s="122">
        <f t="shared" si="2"/>
        <v>0</v>
      </c>
      <c r="T11" s="121"/>
    </row>
    <row r="12" spans="1:20" ht="13.8">
      <c r="A12" s="120"/>
      <c r="B12" s="23"/>
      <c r="C12" s="66"/>
      <c r="D12" s="73"/>
      <c r="E12" s="23"/>
      <c r="F12" s="23"/>
      <c r="G12" s="74"/>
      <c r="H12" s="115"/>
      <c r="I12" s="115"/>
      <c r="J12" s="23"/>
      <c r="K12" s="113">
        <f t="shared" si="0"/>
        <v>0</v>
      </c>
      <c r="L12" s="115"/>
      <c r="M12" s="115"/>
      <c r="N12" s="23"/>
      <c r="O12" s="23"/>
      <c r="P12" s="23"/>
      <c r="Q12" s="115">
        <f t="shared" si="5"/>
        <v>0</v>
      </c>
      <c r="R12" s="21"/>
      <c r="S12" s="122">
        <f t="shared" si="2"/>
        <v>0</v>
      </c>
      <c r="T12" s="121"/>
    </row>
    <row r="13" spans="1:20" ht="13.8">
      <c r="A13" s="120"/>
      <c r="B13" s="23"/>
      <c r="C13" s="66"/>
      <c r="D13" s="73"/>
      <c r="E13" s="23"/>
      <c r="F13" s="23"/>
      <c r="G13" s="74"/>
      <c r="H13" s="115"/>
      <c r="I13" s="115"/>
      <c r="J13" s="23"/>
      <c r="K13" s="113">
        <f t="shared" si="0"/>
        <v>0</v>
      </c>
      <c r="L13" s="115"/>
      <c r="M13" s="115"/>
      <c r="N13" s="23"/>
      <c r="O13" s="23"/>
      <c r="P13" s="23"/>
      <c r="Q13" s="115">
        <f>K13+M13+O13+P13+F13</f>
        <v>0</v>
      </c>
      <c r="R13" s="21"/>
      <c r="S13" s="122">
        <f t="shared" si="2"/>
        <v>0</v>
      </c>
      <c r="T13" s="121"/>
    </row>
    <row r="14" spans="1:20" ht="13.8">
      <c r="A14" s="123"/>
      <c r="B14" s="124"/>
      <c r="C14" s="124"/>
      <c r="D14" s="125"/>
      <c r="E14" s="124"/>
      <c r="F14" s="124"/>
      <c r="G14" s="126"/>
      <c r="H14" s="127"/>
      <c r="I14" s="127"/>
      <c r="J14" s="124"/>
      <c r="K14" s="127"/>
      <c r="L14" s="127"/>
      <c r="M14" s="124"/>
      <c r="N14" s="124"/>
      <c r="O14" s="124"/>
      <c r="P14" s="124"/>
      <c r="Q14" s="127"/>
      <c r="R14" s="127"/>
      <c r="S14" s="124"/>
      <c r="T14" s="128"/>
    </row>
    <row r="15" spans="1:20" ht="16.8">
      <c r="A15" s="129"/>
      <c r="B15" s="130" t="s">
        <v>79</v>
      </c>
      <c r="C15" s="130"/>
      <c r="D15" s="131"/>
      <c r="E15" s="132">
        <f t="shared" ref="E15:G15" si="6">SUM(E5:E14)</f>
        <v>28000000</v>
      </c>
      <c r="F15" s="132">
        <f t="shared" si="6"/>
        <v>26000000</v>
      </c>
      <c r="G15" s="133">
        <f t="shared" si="6"/>
        <v>14</v>
      </c>
      <c r="H15" s="132"/>
      <c r="I15" s="132"/>
      <c r="J15" s="132"/>
      <c r="K15" s="132">
        <f>SUM(K5:K13)</f>
        <v>4456000</v>
      </c>
      <c r="L15" s="132"/>
      <c r="M15" s="132">
        <f t="shared" ref="M15:P15" si="7">SUM(M5:M14)</f>
        <v>1400000</v>
      </c>
      <c r="N15" s="134">
        <f t="shared" si="7"/>
        <v>0</v>
      </c>
      <c r="O15" s="134">
        <f t="shared" si="7"/>
        <v>700000</v>
      </c>
      <c r="P15" s="132">
        <f t="shared" si="7"/>
        <v>1200000</v>
      </c>
      <c r="Q15" s="132">
        <f>SUM(Q5:Q13)</f>
        <v>33756000</v>
      </c>
      <c r="R15" s="132">
        <f>SUM(R5:R12)</f>
        <v>0</v>
      </c>
      <c r="S15" s="134">
        <f>SUM(S5:S13)</f>
        <v>33756000</v>
      </c>
      <c r="T15" s="135"/>
    </row>
    <row r="19" spans="1:5" ht="13.8">
      <c r="A19" s="176" t="s">
        <v>39</v>
      </c>
      <c r="B19" s="177"/>
      <c r="C19" s="177"/>
      <c r="D19" s="177"/>
      <c r="E19" s="178"/>
    </row>
    <row r="20" spans="1:5" ht="13.8">
      <c r="A20" s="179"/>
      <c r="B20" s="180"/>
      <c r="C20" s="180"/>
      <c r="D20" s="180"/>
      <c r="E20" s="181"/>
    </row>
    <row r="21" spans="1:5" ht="15.75" customHeight="1">
      <c r="A21" s="182" t="s">
        <v>40</v>
      </c>
      <c r="B21" s="136" t="s">
        <v>41</v>
      </c>
      <c r="C21" s="137" t="s">
        <v>42</v>
      </c>
      <c r="D21" s="137" t="s">
        <v>43</v>
      </c>
      <c r="E21" s="138" t="s">
        <v>44</v>
      </c>
    </row>
    <row r="22" spans="1:5" ht="15.75" customHeight="1">
      <c r="A22" s="183"/>
      <c r="B22" s="139" t="s">
        <v>111</v>
      </c>
      <c r="C22" s="140">
        <f>F15</f>
        <v>26000000</v>
      </c>
      <c r="D22" s="140">
        <v>15000000</v>
      </c>
      <c r="E22" s="141">
        <f t="shared" ref="E22:E27" si="8">C22-D22</f>
        <v>11000000</v>
      </c>
    </row>
    <row r="23" spans="1:5" ht="15.75" customHeight="1">
      <c r="A23" s="183"/>
      <c r="B23" s="142" t="s">
        <v>112</v>
      </c>
      <c r="C23" s="67">
        <f>K15</f>
        <v>4456000</v>
      </c>
      <c r="D23" s="23"/>
      <c r="E23" s="143">
        <f t="shared" si="8"/>
        <v>4456000</v>
      </c>
    </row>
    <row r="24" spans="1:5" ht="15.75" customHeight="1">
      <c r="A24" s="183"/>
      <c r="B24" s="142" t="s">
        <v>113</v>
      </c>
      <c r="C24" s="67">
        <f>M15</f>
        <v>1400000</v>
      </c>
      <c r="D24" s="75"/>
      <c r="E24" s="143">
        <f t="shared" si="8"/>
        <v>1400000</v>
      </c>
    </row>
    <row r="25" spans="1:5" ht="15.75" customHeight="1">
      <c r="A25" s="183"/>
      <c r="B25" s="142" t="s">
        <v>114</v>
      </c>
      <c r="C25" s="67">
        <f>P15</f>
        <v>1200000</v>
      </c>
      <c r="D25" s="23">
        <v>500000</v>
      </c>
      <c r="E25" s="143">
        <f t="shared" si="8"/>
        <v>700000</v>
      </c>
    </row>
    <row r="26" spans="1:5" ht="15.75" customHeight="1">
      <c r="A26" s="183"/>
      <c r="B26" s="142" t="s">
        <v>115</v>
      </c>
      <c r="C26" s="67">
        <f>N17</f>
        <v>0</v>
      </c>
      <c r="D26" s="67">
        <v>500000</v>
      </c>
      <c r="E26" s="143">
        <f t="shared" si="8"/>
        <v>-500000</v>
      </c>
    </row>
    <row r="27" spans="1:5" ht="15.75" customHeight="1">
      <c r="A27" s="172"/>
      <c r="B27" s="144" t="s">
        <v>52</v>
      </c>
      <c r="C27" s="145">
        <f>O15</f>
        <v>700000</v>
      </c>
      <c r="D27" s="146"/>
      <c r="E27" s="147">
        <f t="shared" si="8"/>
        <v>700000</v>
      </c>
    </row>
    <row r="28" spans="1:5" ht="15.75" customHeight="1">
      <c r="A28" s="148"/>
      <c r="B28" s="149" t="s">
        <v>57</v>
      </c>
      <c r="C28" s="150">
        <f>SUM(C22:C27)</f>
        <v>33756000</v>
      </c>
      <c r="D28" s="91"/>
      <c r="E28" s="151"/>
    </row>
    <row r="29" spans="1:5" ht="15.75" customHeight="1">
      <c r="A29" s="148"/>
      <c r="B29" s="91"/>
      <c r="C29" s="91"/>
      <c r="D29" s="184" t="s">
        <v>116</v>
      </c>
      <c r="E29" s="185">
        <f>E22+E23+E24+E25+E26+E27</f>
        <v>17756000</v>
      </c>
    </row>
    <row r="30" spans="1:5" ht="15.75" customHeight="1">
      <c r="A30" s="148"/>
      <c r="B30" s="91"/>
      <c r="C30" s="91"/>
      <c r="D30" s="172"/>
      <c r="E30" s="172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2.09765625" customWidth="1"/>
    <col min="21" max="26" width="7.59765625" customWidth="1"/>
  </cols>
  <sheetData>
    <row r="1" spans="1:20" ht="13.8">
      <c r="A1" s="189" t="s">
        <v>101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8"/>
    </row>
    <row r="2" spans="1:20" ht="13.8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1"/>
    </row>
    <row r="3" spans="1:20" ht="13.8">
      <c r="A3" s="171" t="s">
        <v>1</v>
      </c>
      <c r="B3" s="171" t="s">
        <v>2</v>
      </c>
      <c r="C3" s="171" t="s">
        <v>3</v>
      </c>
      <c r="D3" s="171" t="s">
        <v>4</v>
      </c>
      <c r="E3" s="171" t="s">
        <v>5</v>
      </c>
      <c r="F3" s="171" t="s">
        <v>6</v>
      </c>
      <c r="G3" s="171" t="s">
        <v>7</v>
      </c>
      <c r="H3" s="173" t="s">
        <v>8</v>
      </c>
      <c r="I3" s="174"/>
      <c r="J3" s="174"/>
      <c r="K3" s="175"/>
      <c r="L3" s="173" t="s">
        <v>9</v>
      </c>
      <c r="M3" s="186"/>
      <c r="N3" s="187" t="s">
        <v>10</v>
      </c>
      <c r="O3" s="171" t="s">
        <v>11</v>
      </c>
      <c r="P3" s="171" t="s">
        <v>12</v>
      </c>
      <c r="Q3" s="171" t="s">
        <v>13</v>
      </c>
      <c r="R3" s="171" t="s">
        <v>14</v>
      </c>
      <c r="S3" s="171" t="s">
        <v>15</v>
      </c>
      <c r="T3" s="171" t="s">
        <v>17</v>
      </c>
    </row>
    <row r="4" spans="1:20" ht="13.8">
      <c r="A4" s="172"/>
      <c r="B4" s="172"/>
      <c r="C4" s="172"/>
      <c r="D4" s="172"/>
      <c r="E4" s="172"/>
      <c r="F4" s="172"/>
      <c r="G4" s="172"/>
      <c r="H4" s="108" t="s">
        <v>18</v>
      </c>
      <c r="I4" s="108" t="s">
        <v>19</v>
      </c>
      <c r="J4" s="108" t="s">
        <v>70</v>
      </c>
      <c r="K4" s="109" t="s">
        <v>21</v>
      </c>
      <c r="L4" s="108" t="s">
        <v>71</v>
      </c>
      <c r="M4" s="110" t="s">
        <v>21</v>
      </c>
      <c r="N4" s="188"/>
      <c r="O4" s="172"/>
      <c r="P4" s="172"/>
      <c r="Q4" s="172"/>
      <c r="R4" s="172"/>
      <c r="S4" s="172"/>
      <c r="T4" s="172"/>
    </row>
    <row r="5" spans="1:20" ht="13.8">
      <c r="A5" s="111" t="s">
        <v>23</v>
      </c>
      <c r="B5" s="112" t="s">
        <v>102</v>
      </c>
      <c r="C5" s="113" t="s">
        <v>103</v>
      </c>
      <c r="D5" s="114" t="s">
        <v>28</v>
      </c>
      <c r="E5" s="115">
        <v>5900000</v>
      </c>
      <c r="F5" s="115">
        <v>5400000</v>
      </c>
      <c r="G5" s="116">
        <v>4</v>
      </c>
      <c r="H5" s="115">
        <v>703</v>
      </c>
      <c r="I5" s="115">
        <v>1303</v>
      </c>
      <c r="J5" s="115">
        <v>4000</v>
      </c>
      <c r="K5" s="115">
        <f t="shared" ref="K5:K13" si="0">(I5-H5)*J5</f>
        <v>2400000</v>
      </c>
      <c r="L5" s="115">
        <v>100000</v>
      </c>
      <c r="M5" s="115">
        <f t="shared" ref="M5:M10" si="1">L5*G5</f>
        <v>400000</v>
      </c>
      <c r="N5" s="115"/>
      <c r="O5" s="115"/>
      <c r="P5" s="115">
        <v>300000</v>
      </c>
      <c r="Q5" s="115">
        <f>F5+K5+M5+O5+P5</f>
        <v>8500000</v>
      </c>
      <c r="R5" s="117"/>
      <c r="S5" s="118">
        <f t="shared" ref="S5:S13" si="2">Q5-R5</f>
        <v>8500000</v>
      </c>
      <c r="T5" s="119"/>
    </row>
    <row r="6" spans="1:20" ht="13.8">
      <c r="A6" s="120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115">
        <v>138</v>
      </c>
      <c r="I6" s="115">
        <v>248</v>
      </c>
      <c r="J6" s="21">
        <v>4000</v>
      </c>
      <c r="K6" s="113">
        <f t="shared" si="0"/>
        <v>440000</v>
      </c>
      <c r="L6" s="115">
        <v>100000</v>
      </c>
      <c r="M6" s="115">
        <f t="shared" si="1"/>
        <v>300000</v>
      </c>
      <c r="N6" s="23"/>
      <c r="O6" s="21">
        <v>200000</v>
      </c>
      <c r="P6" s="21">
        <v>250000</v>
      </c>
      <c r="Q6" s="115">
        <f t="shared" ref="Q6:Q7" si="3">F6+K6+M6+P6+O6</f>
        <v>6290000</v>
      </c>
      <c r="R6" s="21"/>
      <c r="S6" s="118">
        <f t="shared" si="2"/>
        <v>6290000</v>
      </c>
      <c r="T6" s="121"/>
    </row>
    <row r="7" spans="1:20" ht="13.8">
      <c r="A7" s="120">
        <v>102</v>
      </c>
      <c r="B7" s="67" t="s">
        <v>104</v>
      </c>
      <c r="C7" s="113" t="s">
        <v>105</v>
      </c>
      <c r="D7" s="73" t="s">
        <v>28</v>
      </c>
      <c r="E7" s="23">
        <v>5600000</v>
      </c>
      <c r="F7" s="23">
        <v>5100000</v>
      </c>
      <c r="G7" s="74">
        <v>3</v>
      </c>
      <c r="H7" s="115">
        <v>185</v>
      </c>
      <c r="I7" s="115">
        <v>408</v>
      </c>
      <c r="J7" s="23">
        <v>4000</v>
      </c>
      <c r="K7" s="113">
        <f t="shared" si="0"/>
        <v>892000</v>
      </c>
      <c r="L7" s="115">
        <v>100000</v>
      </c>
      <c r="M7" s="115">
        <f t="shared" si="1"/>
        <v>300000</v>
      </c>
      <c r="N7" s="23"/>
      <c r="O7" s="23">
        <v>300000</v>
      </c>
      <c r="P7" s="23">
        <v>250000</v>
      </c>
      <c r="Q7" s="115">
        <f t="shared" si="3"/>
        <v>6842000</v>
      </c>
      <c r="R7" s="21"/>
      <c r="S7" s="118">
        <f t="shared" si="2"/>
        <v>6842000</v>
      </c>
      <c r="T7" s="121"/>
    </row>
    <row r="8" spans="1:20" ht="13.8">
      <c r="A8" s="120">
        <v>201</v>
      </c>
      <c r="B8" s="67" t="s">
        <v>106</v>
      </c>
      <c r="C8" s="66" t="s">
        <v>107</v>
      </c>
      <c r="D8" s="73" t="s">
        <v>28</v>
      </c>
      <c r="E8" s="23">
        <v>5900000</v>
      </c>
      <c r="F8" s="23">
        <v>5400000</v>
      </c>
      <c r="G8" s="74">
        <v>2</v>
      </c>
      <c r="H8" s="115">
        <v>89</v>
      </c>
      <c r="I8" s="115">
        <v>205</v>
      </c>
      <c r="J8" s="23">
        <v>4000</v>
      </c>
      <c r="K8" s="113">
        <f t="shared" si="0"/>
        <v>464000</v>
      </c>
      <c r="L8" s="115">
        <v>100000</v>
      </c>
      <c r="M8" s="115">
        <f t="shared" si="1"/>
        <v>200000</v>
      </c>
      <c r="N8" s="23"/>
      <c r="O8" s="23">
        <v>200000</v>
      </c>
      <c r="P8" s="23">
        <v>200000</v>
      </c>
      <c r="Q8" s="115">
        <f>F8+K8+M8+O8+P8</f>
        <v>6464000</v>
      </c>
      <c r="R8" s="21"/>
      <c r="S8" s="118">
        <f t="shared" si="2"/>
        <v>6464000</v>
      </c>
      <c r="T8" s="121"/>
    </row>
    <row r="9" spans="1:20" ht="13.8">
      <c r="A9" s="120">
        <v>202</v>
      </c>
      <c r="B9" s="67" t="s">
        <v>92</v>
      </c>
      <c r="C9" s="66" t="s">
        <v>93</v>
      </c>
      <c r="D9" s="73" t="s">
        <v>94</v>
      </c>
      <c r="E9" s="23">
        <v>5100000</v>
      </c>
      <c r="F9" s="23">
        <v>4600000</v>
      </c>
      <c r="G9" s="74">
        <v>2</v>
      </c>
      <c r="H9" s="115">
        <v>53</v>
      </c>
      <c r="I9" s="115">
        <v>97</v>
      </c>
      <c r="J9" s="23">
        <v>4000</v>
      </c>
      <c r="K9" s="113">
        <f t="shared" si="0"/>
        <v>176000</v>
      </c>
      <c r="L9" s="115">
        <v>100000</v>
      </c>
      <c r="M9" s="115">
        <f t="shared" si="1"/>
        <v>200000</v>
      </c>
      <c r="N9" s="23"/>
      <c r="O9" s="23">
        <v>100000</v>
      </c>
      <c r="P9" s="23">
        <v>200000</v>
      </c>
      <c r="Q9" s="115">
        <f t="shared" ref="Q9:Q10" si="4">F9+K9+M9+P9+O9</f>
        <v>5276000</v>
      </c>
      <c r="R9" s="21"/>
      <c r="S9" s="118">
        <f t="shared" si="2"/>
        <v>5276000</v>
      </c>
      <c r="T9" s="121"/>
    </row>
    <row r="10" spans="1:20" ht="13.8">
      <c r="A10" s="120"/>
      <c r="B10" s="67"/>
      <c r="C10" s="66"/>
      <c r="D10" s="73"/>
      <c r="E10" s="23"/>
      <c r="F10" s="23"/>
      <c r="G10" s="74"/>
      <c r="H10" s="115"/>
      <c r="I10" s="115"/>
      <c r="J10" s="23"/>
      <c r="K10" s="113">
        <f t="shared" si="0"/>
        <v>0</v>
      </c>
      <c r="L10" s="115"/>
      <c r="M10" s="115">
        <f t="shared" si="1"/>
        <v>0</v>
      </c>
      <c r="N10" s="23"/>
      <c r="O10" s="23"/>
      <c r="P10" s="23"/>
      <c r="Q10" s="115">
        <f t="shared" si="4"/>
        <v>0</v>
      </c>
      <c r="R10" s="21"/>
      <c r="S10" s="122">
        <f t="shared" si="2"/>
        <v>0</v>
      </c>
      <c r="T10" s="121"/>
    </row>
    <row r="11" spans="1:20" ht="13.8">
      <c r="A11" s="120"/>
      <c r="B11" s="67"/>
      <c r="C11" s="66"/>
      <c r="D11" s="73"/>
      <c r="E11" s="23"/>
      <c r="F11" s="23"/>
      <c r="G11" s="74"/>
      <c r="H11" s="115"/>
      <c r="I11" s="115"/>
      <c r="J11" s="23"/>
      <c r="K11" s="113">
        <f t="shared" si="0"/>
        <v>0</v>
      </c>
      <c r="L11" s="115"/>
      <c r="M11" s="115"/>
      <c r="N11" s="23"/>
      <c r="O11" s="23"/>
      <c r="P11" s="23"/>
      <c r="Q11" s="115">
        <f t="shared" ref="Q11:Q12" si="5">F11+K11+M11+O11+P11</f>
        <v>0</v>
      </c>
      <c r="R11" s="21"/>
      <c r="S11" s="122">
        <f t="shared" si="2"/>
        <v>0</v>
      </c>
      <c r="T11" s="121"/>
    </row>
    <row r="12" spans="1:20" ht="13.8">
      <c r="A12" s="120"/>
      <c r="B12" s="23"/>
      <c r="C12" s="66"/>
      <c r="D12" s="73"/>
      <c r="E12" s="23"/>
      <c r="F12" s="23"/>
      <c r="G12" s="74"/>
      <c r="H12" s="115"/>
      <c r="I12" s="115"/>
      <c r="J12" s="23"/>
      <c r="K12" s="113">
        <f t="shared" si="0"/>
        <v>0</v>
      </c>
      <c r="L12" s="115"/>
      <c r="M12" s="115"/>
      <c r="N12" s="23"/>
      <c r="O12" s="23"/>
      <c r="P12" s="23"/>
      <c r="Q12" s="115">
        <f t="shared" si="5"/>
        <v>0</v>
      </c>
      <c r="R12" s="21"/>
      <c r="S12" s="122">
        <f t="shared" si="2"/>
        <v>0</v>
      </c>
      <c r="T12" s="121"/>
    </row>
    <row r="13" spans="1:20" ht="13.8">
      <c r="A13" s="120"/>
      <c r="B13" s="23"/>
      <c r="C13" s="66"/>
      <c r="D13" s="73"/>
      <c r="E13" s="23"/>
      <c r="F13" s="23"/>
      <c r="G13" s="74"/>
      <c r="H13" s="115"/>
      <c r="I13" s="115"/>
      <c r="J13" s="23"/>
      <c r="K13" s="113">
        <f t="shared" si="0"/>
        <v>0</v>
      </c>
      <c r="L13" s="115"/>
      <c r="M13" s="115"/>
      <c r="N13" s="23"/>
      <c r="O13" s="23"/>
      <c r="P13" s="23"/>
      <c r="Q13" s="115">
        <f>K13+M13+O13+P13+F13</f>
        <v>0</v>
      </c>
      <c r="R13" s="21"/>
      <c r="S13" s="122">
        <f t="shared" si="2"/>
        <v>0</v>
      </c>
      <c r="T13" s="121"/>
    </row>
    <row r="14" spans="1:20" ht="13.8">
      <c r="A14" s="123"/>
      <c r="B14" s="124"/>
      <c r="C14" s="124"/>
      <c r="D14" s="125"/>
      <c r="E14" s="124"/>
      <c r="F14" s="124"/>
      <c r="G14" s="126"/>
      <c r="H14" s="127"/>
      <c r="I14" s="127"/>
      <c r="J14" s="124"/>
      <c r="K14" s="127"/>
      <c r="L14" s="127"/>
      <c r="M14" s="124"/>
      <c r="N14" s="124"/>
      <c r="O14" s="124"/>
      <c r="P14" s="124"/>
      <c r="Q14" s="127"/>
      <c r="R14" s="127"/>
      <c r="S14" s="124"/>
      <c r="T14" s="128"/>
    </row>
    <row r="15" spans="1:20" ht="16.8">
      <c r="A15" s="129"/>
      <c r="B15" s="130" t="s">
        <v>79</v>
      </c>
      <c r="C15" s="130"/>
      <c r="D15" s="131"/>
      <c r="E15" s="132">
        <f t="shared" ref="E15:G15" si="6">SUM(E5:E14)</f>
        <v>28100000</v>
      </c>
      <c r="F15" s="132">
        <f t="shared" si="6"/>
        <v>25600000</v>
      </c>
      <c r="G15" s="133">
        <f t="shared" si="6"/>
        <v>14</v>
      </c>
      <c r="H15" s="132"/>
      <c r="I15" s="132"/>
      <c r="J15" s="132"/>
      <c r="K15" s="132">
        <f>SUM(K5:K13)</f>
        <v>4372000</v>
      </c>
      <c r="L15" s="132"/>
      <c r="M15" s="132">
        <f t="shared" ref="M15:P15" si="7">SUM(M5:M14)</f>
        <v>1400000</v>
      </c>
      <c r="N15" s="134">
        <f t="shared" si="7"/>
        <v>0</v>
      </c>
      <c r="O15" s="134">
        <f t="shared" si="7"/>
        <v>800000</v>
      </c>
      <c r="P15" s="132">
        <f t="shared" si="7"/>
        <v>1200000</v>
      </c>
      <c r="Q15" s="132">
        <f>SUM(Q5:Q13)</f>
        <v>33372000</v>
      </c>
      <c r="R15" s="132">
        <f>SUM(R5:R12)</f>
        <v>0</v>
      </c>
      <c r="S15" s="134">
        <f>SUM(S5:S13)</f>
        <v>33372000</v>
      </c>
      <c r="T15" s="135"/>
    </row>
    <row r="19" spans="1:5" ht="13.8">
      <c r="A19" s="176" t="s">
        <v>39</v>
      </c>
      <c r="B19" s="177"/>
      <c r="C19" s="177"/>
      <c r="D19" s="177"/>
      <c r="E19" s="178"/>
    </row>
    <row r="20" spans="1:5" ht="13.8">
      <c r="A20" s="179"/>
      <c r="B20" s="180"/>
      <c r="C20" s="180"/>
      <c r="D20" s="180"/>
      <c r="E20" s="181"/>
    </row>
    <row r="21" spans="1:5" ht="15.75" customHeight="1">
      <c r="A21" s="182" t="s">
        <v>40</v>
      </c>
      <c r="B21" s="136" t="s">
        <v>41</v>
      </c>
      <c r="C21" s="137" t="s">
        <v>42</v>
      </c>
      <c r="D21" s="137" t="s">
        <v>43</v>
      </c>
      <c r="E21" s="138" t="s">
        <v>44</v>
      </c>
    </row>
    <row r="22" spans="1:5" ht="15.75" customHeight="1">
      <c r="A22" s="183"/>
      <c r="B22" s="139" t="s">
        <v>111</v>
      </c>
      <c r="C22" s="140">
        <f>F15</f>
        <v>25600000</v>
      </c>
      <c r="D22" s="140">
        <v>15000000</v>
      </c>
      <c r="E22" s="141">
        <f t="shared" ref="E22:E27" si="8">C22-D22</f>
        <v>10600000</v>
      </c>
    </row>
    <row r="23" spans="1:5" ht="15.75" customHeight="1">
      <c r="A23" s="183"/>
      <c r="B23" s="142" t="s">
        <v>112</v>
      </c>
      <c r="C23" s="67">
        <f>K15</f>
        <v>4372000</v>
      </c>
      <c r="D23" s="23"/>
      <c r="E23" s="143">
        <f t="shared" si="8"/>
        <v>4372000</v>
      </c>
    </row>
    <row r="24" spans="1:5" ht="15.75" customHeight="1">
      <c r="A24" s="183"/>
      <c r="B24" s="142" t="s">
        <v>113</v>
      </c>
      <c r="C24" s="67">
        <f>M15</f>
        <v>1400000</v>
      </c>
      <c r="D24" s="75"/>
      <c r="E24" s="143">
        <f t="shared" si="8"/>
        <v>1400000</v>
      </c>
    </row>
    <row r="25" spans="1:5" ht="15.75" customHeight="1">
      <c r="A25" s="183"/>
      <c r="B25" s="142" t="s">
        <v>114</v>
      </c>
      <c r="C25" s="67">
        <f>P15</f>
        <v>1200000</v>
      </c>
      <c r="D25" s="23">
        <v>500000</v>
      </c>
      <c r="E25" s="143">
        <f t="shared" si="8"/>
        <v>700000</v>
      </c>
    </row>
    <row r="26" spans="1:5" ht="15.75" customHeight="1">
      <c r="A26" s="183"/>
      <c r="B26" s="142" t="s">
        <v>115</v>
      </c>
      <c r="C26" s="67">
        <f>N17</f>
        <v>0</v>
      </c>
      <c r="D26" s="67">
        <v>500000</v>
      </c>
      <c r="E26" s="143">
        <f t="shared" si="8"/>
        <v>-500000</v>
      </c>
    </row>
    <row r="27" spans="1:5" ht="15.75" customHeight="1">
      <c r="A27" s="172"/>
      <c r="B27" s="144" t="s">
        <v>52</v>
      </c>
      <c r="C27" s="145">
        <f>O15</f>
        <v>800000</v>
      </c>
      <c r="D27" s="146"/>
      <c r="E27" s="147">
        <f t="shared" si="8"/>
        <v>800000</v>
      </c>
    </row>
    <row r="28" spans="1:5" ht="15.75" customHeight="1">
      <c r="A28" s="148"/>
      <c r="B28" s="149" t="s">
        <v>57</v>
      </c>
      <c r="C28" s="150">
        <f>SUM(C22:C27)</f>
        <v>33372000</v>
      </c>
      <c r="D28" s="91"/>
      <c r="E28" s="151"/>
    </row>
    <row r="29" spans="1:5" ht="15.75" customHeight="1">
      <c r="A29" s="148"/>
      <c r="B29" s="91"/>
      <c r="C29" s="91"/>
      <c r="D29" s="184" t="s">
        <v>116</v>
      </c>
      <c r="E29" s="185">
        <f>E22+E23+E24+E25+E26+E27</f>
        <v>17372000</v>
      </c>
    </row>
    <row r="30" spans="1:5" ht="15.75" customHeight="1">
      <c r="A30" s="148"/>
      <c r="B30" s="91"/>
      <c r="C30" s="91"/>
      <c r="D30" s="172"/>
      <c r="E30" s="172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2.09765625" customWidth="1"/>
    <col min="21" max="26" width="7.59765625" customWidth="1"/>
  </cols>
  <sheetData>
    <row r="1" spans="1:20" ht="13.8">
      <c r="A1" s="189" t="s">
        <v>101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8"/>
    </row>
    <row r="2" spans="1:20" ht="13.8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1"/>
    </row>
    <row r="3" spans="1:20" ht="13.8">
      <c r="A3" s="171" t="s">
        <v>1</v>
      </c>
      <c r="B3" s="171" t="s">
        <v>2</v>
      </c>
      <c r="C3" s="171" t="s">
        <v>3</v>
      </c>
      <c r="D3" s="171" t="s">
        <v>4</v>
      </c>
      <c r="E3" s="171" t="s">
        <v>5</v>
      </c>
      <c r="F3" s="171" t="s">
        <v>6</v>
      </c>
      <c r="G3" s="171" t="s">
        <v>7</v>
      </c>
      <c r="H3" s="173" t="s">
        <v>8</v>
      </c>
      <c r="I3" s="174"/>
      <c r="J3" s="174"/>
      <c r="K3" s="175"/>
      <c r="L3" s="173" t="s">
        <v>9</v>
      </c>
      <c r="M3" s="186"/>
      <c r="N3" s="187" t="s">
        <v>10</v>
      </c>
      <c r="O3" s="171" t="s">
        <v>11</v>
      </c>
      <c r="P3" s="171" t="s">
        <v>12</v>
      </c>
      <c r="Q3" s="171" t="s">
        <v>13</v>
      </c>
      <c r="R3" s="171" t="s">
        <v>14</v>
      </c>
      <c r="S3" s="171" t="s">
        <v>15</v>
      </c>
      <c r="T3" s="171" t="s">
        <v>17</v>
      </c>
    </row>
    <row r="4" spans="1:20" ht="13.8">
      <c r="A4" s="172"/>
      <c r="B4" s="172"/>
      <c r="C4" s="172"/>
      <c r="D4" s="172"/>
      <c r="E4" s="172"/>
      <c r="F4" s="172"/>
      <c r="G4" s="172"/>
      <c r="H4" s="108" t="s">
        <v>18</v>
      </c>
      <c r="I4" s="108" t="s">
        <v>19</v>
      </c>
      <c r="J4" s="108" t="s">
        <v>70</v>
      </c>
      <c r="K4" s="109" t="s">
        <v>21</v>
      </c>
      <c r="L4" s="108" t="s">
        <v>71</v>
      </c>
      <c r="M4" s="110" t="s">
        <v>21</v>
      </c>
      <c r="N4" s="188"/>
      <c r="O4" s="172"/>
      <c r="P4" s="172"/>
      <c r="Q4" s="172"/>
      <c r="R4" s="172"/>
      <c r="S4" s="172"/>
      <c r="T4" s="172"/>
    </row>
    <row r="5" spans="1:20" ht="13.8">
      <c r="A5" s="111" t="s">
        <v>23</v>
      </c>
      <c r="B5" s="112" t="s">
        <v>102</v>
      </c>
      <c r="C5" s="113" t="s">
        <v>103</v>
      </c>
      <c r="D5" s="114" t="s">
        <v>28</v>
      </c>
      <c r="E5" s="115">
        <v>5900000</v>
      </c>
      <c r="F5" s="115">
        <v>5400000</v>
      </c>
      <c r="G5" s="116">
        <v>4</v>
      </c>
      <c r="H5" s="115">
        <v>1303</v>
      </c>
      <c r="I5" s="115">
        <v>1806</v>
      </c>
      <c r="J5" s="115">
        <v>4000</v>
      </c>
      <c r="K5" s="115">
        <f t="shared" ref="K5:K13" si="0">(I5-H5)*J5</f>
        <v>2012000</v>
      </c>
      <c r="L5" s="115">
        <v>100000</v>
      </c>
      <c r="M5" s="115">
        <f t="shared" ref="M5:M10" si="1">L5*G5</f>
        <v>400000</v>
      </c>
      <c r="N5" s="115"/>
      <c r="O5" s="115"/>
      <c r="P5" s="115">
        <v>300000</v>
      </c>
      <c r="Q5" s="115">
        <f>F5+K5+M5+O5+P5</f>
        <v>8112000</v>
      </c>
      <c r="R5" s="117"/>
      <c r="S5" s="118">
        <f t="shared" ref="S5:S13" si="2">Q5-R5</f>
        <v>8112000</v>
      </c>
      <c r="T5" s="119"/>
    </row>
    <row r="6" spans="1:20" ht="13.8">
      <c r="A6" s="120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115">
        <v>248</v>
      </c>
      <c r="I6" s="115">
        <v>340</v>
      </c>
      <c r="J6" s="21">
        <v>4000</v>
      </c>
      <c r="K6" s="113">
        <f t="shared" si="0"/>
        <v>368000</v>
      </c>
      <c r="L6" s="115">
        <v>100000</v>
      </c>
      <c r="M6" s="115">
        <f t="shared" si="1"/>
        <v>300000</v>
      </c>
      <c r="N6" s="23"/>
      <c r="O6" s="21">
        <v>200000</v>
      </c>
      <c r="P6" s="21">
        <v>250000</v>
      </c>
      <c r="Q6" s="115">
        <f t="shared" ref="Q6:Q7" si="3">F6+K6+M6+P6+O6</f>
        <v>6218000</v>
      </c>
      <c r="R6" s="21"/>
      <c r="S6" s="118">
        <f t="shared" si="2"/>
        <v>6218000</v>
      </c>
      <c r="T6" s="121"/>
    </row>
    <row r="7" spans="1:20" ht="13.8">
      <c r="A7" s="120">
        <v>102</v>
      </c>
      <c r="B7" s="67" t="s">
        <v>104</v>
      </c>
      <c r="C7" s="113" t="s">
        <v>105</v>
      </c>
      <c r="D7" s="73" t="s">
        <v>28</v>
      </c>
      <c r="E7" s="23">
        <v>5600000</v>
      </c>
      <c r="F7" s="23">
        <v>5100000</v>
      </c>
      <c r="G7" s="74">
        <v>3</v>
      </c>
      <c r="H7" s="115">
        <v>408</v>
      </c>
      <c r="I7" s="115">
        <v>612</v>
      </c>
      <c r="J7" s="23">
        <v>4000</v>
      </c>
      <c r="K7" s="113">
        <f t="shared" si="0"/>
        <v>816000</v>
      </c>
      <c r="L7" s="115">
        <v>100000</v>
      </c>
      <c r="M7" s="115">
        <f t="shared" si="1"/>
        <v>300000</v>
      </c>
      <c r="N7" s="23"/>
      <c r="O7" s="23">
        <v>300000</v>
      </c>
      <c r="P7" s="23">
        <v>250000</v>
      </c>
      <c r="Q7" s="115">
        <f t="shared" si="3"/>
        <v>6766000</v>
      </c>
      <c r="R7" s="21"/>
      <c r="S7" s="118">
        <f t="shared" si="2"/>
        <v>6766000</v>
      </c>
      <c r="T7" s="121"/>
    </row>
    <row r="8" spans="1:20" ht="13.8">
      <c r="A8" s="120">
        <v>201</v>
      </c>
      <c r="B8" s="67" t="s">
        <v>106</v>
      </c>
      <c r="C8" s="66" t="s">
        <v>107</v>
      </c>
      <c r="D8" s="73" t="s">
        <v>28</v>
      </c>
      <c r="E8" s="23">
        <v>5900000</v>
      </c>
      <c r="F8" s="23">
        <v>5400000</v>
      </c>
      <c r="G8" s="74">
        <v>2</v>
      </c>
      <c r="H8" s="115">
        <v>205</v>
      </c>
      <c r="I8" s="115">
        <v>328</v>
      </c>
      <c r="J8" s="23">
        <v>4000</v>
      </c>
      <c r="K8" s="113">
        <f t="shared" si="0"/>
        <v>492000</v>
      </c>
      <c r="L8" s="115">
        <v>100000</v>
      </c>
      <c r="M8" s="115">
        <f t="shared" si="1"/>
        <v>200000</v>
      </c>
      <c r="N8" s="23"/>
      <c r="O8" s="23">
        <v>200000</v>
      </c>
      <c r="P8" s="23">
        <v>200000</v>
      </c>
      <c r="Q8" s="115">
        <f>F8+K8+M8+O8+P8</f>
        <v>6492000</v>
      </c>
      <c r="R8" s="21"/>
      <c r="S8" s="118">
        <f t="shared" si="2"/>
        <v>6492000</v>
      </c>
      <c r="T8" s="121"/>
    </row>
    <row r="9" spans="1:20" ht="13.8">
      <c r="A9" s="120">
        <v>202</v>
      </c>
      <c r="B9" s="67" t="s">
        <v>92</v>
      </c>
      <c r="C9" s="66" t="s">
        <v>93</v>
      </c>
      <c r="D9" s="73" t="s">
        <v>94</v>
      </c>
      <c r="E9" s="23">
        <v>5100000</v>
      </c>
      <c r="F9" s="23">
        <v>4600000</v>
      </c>
      <c r="G9" s="74">
        <v>2</v>
      </c>
      <c r="H9" s="115">
        <v>97</v>
      </c>
      <c r="I9" s="115">
        <v>176</v>
      </c>
      <c r="J9" s="23">
        <v>4000</v>
      </c>
      <c r="K9" s="113">
        <f t="shared" si="0"/>
        <v>316000</v>
      </c>
      <c r="L9" s="115">
        <v>100000</v>
      </c>
      <c r="M9" s="115">
        <f t="shared" si="1"/>
        <v>200000</v>
      </c>
      <c r="N9" s="23"/>
      <c r="O9" s="23">
        <v>100000</v>
      </c>
      <c r="P9" s="23">
        <v>200000</v>
      </c>
      <c r="Q9" s="115">
        <f t="shared" ref="Q9:Q10" si="4">F9+K9+M9+P9+O9</f>
        <v>5416000</v>
      </c>
      <c r="R9" s="21"/>
      <c r="S9" s="118">
        <f t="shared" si="2"/>
        <v>5416000</v>
      </c>
      <c r="T9" s="121"/>
    </row>
    <row r="10" spans="1:20" ht="13.8">
      <c r="A10" s="120"/>
      <c r="B10" s="67"/>
      <c r="C10" s="66"/>
      <c r="D10" s="73"/>
      <c r="E10" s="23"/>
      <c r="F10" s="23"/>
      <c r="G10" s="74"/>
      <c r="H10" s="115"/>
      <c r="I10" s="115"/>
      <c r="J10" s="23"/>
      <c r="K10" s="113">
        <f t="shared" si="0"/>
        <v>0</v>
      </c>
      <c r="L10" s="115"/>
      <c r="M10" s="115">
        <f t="shared" si="1"/>
        <v>0</v>
      </c>
      <c r="N10" s="23"/>
      <c r="O10" s="23"/>
      <c r="P10" s="23"/>
      <c r="Q10" s="115">
        <f t="shared" si="4"/>
        <v>0</v>
      </c>
      <c r="R10" s="21"/>
      <c r="S10" s="122">
        <f t="shared" si="2"/>
        <v>0</v>
      </c>
      <c r="T10" s="121"/>
    </row>
    <row r="11" spans="1:20" ht="13.8">
      <c r="A11" s="120"/>
      <c r="B11" s="67"/>
      <c r="C11" s="66"/>
      <c r="D11" s="73"/>
      <c r="E11" s="23"/>
      <c r="F11" s="23"/>
      <c r="G11" s="74"/>
      <c r="H11" s="115"/>
      <c r="I11" s="115"/>
      <c r="J11" s="23"/>
      <c r="K11" s="113">
        <f t="shared" si="0"/>
        <v>0</v>
      </c>
      <c r="L11" s="115"/>
      <c r="M11" s="115"/>
      <c r="N11" s="23"/>
      <c r="O11" s="23"/>
      <c r="P11" s="23"/>
      <c r="Q11" s="115">
        <f t="shared" ref="Q11:Q12" si="5">F11+K11+M11+O11+P11</f>
        <v>0</v>
      </c>
      <c r="R11" s="21"/>
      <c r="S11" s="122">
        <f t="shared" si="2"/>
        <v>0</v>
      </c>
      <c r="T11" s="121"/>
    </row>
    <row r="12" spans="1:20" ht="13.8">
      <c r="A12" s="120"/>
      <c r="B12" s="23"/>
      <c r="C12" s="66"/>
      <c r="D12" s="73"/>
      <c r="E12" s="23"/>
      <c r="F12" s="23"/>
      <c r="G12" s="74"/>
      <c r="H12" s="115"/>
      <c r="I12" s="115"/>
      <c r="J12" s="23"/>
      <c r="K12" s="113">
        <f t="shared" si="0"/>
        <v>0</v>
      </c>
      <c r="L12" s="115"/>
      <c r="M12" s="115"/>
      <c r="N12" s="23"/>
      <c r="O12" s="23"/>
      <c r="P12" s="23"/>
      <c r="Q12" s="115">
        <f t="shared" si="5"/>
        <v>0</v>
      </c>
      <c r="R12" s="21"/>
      <c r="S12" s="122">
        <f t="shared" si="2"/>
        <v>0</v>
      </c>
      <c r="T12" s="121"/>
    </row>
    <row r="13" spans="1:20" ht="13.8">
      <c r="A13" s="120"/>
      <c r="B13" s="23"/>
      <c r="C13" s="66"/>
      <c r="D13" s="73"/>
      <c r="E13" s="23"/>
      <c r="F13" s="23"/>
      <c r="G13" s="74"/>
      <c r="H13" s="115"/>
      <c r="I13" s="115"/>
      <c r="J13" s="23"/>
      <c r="K13" s="113">
        <f t="shared" si="0"/>
        <v>0</v>
      </c>
      <c r="L13" s="115"/>
      <c r="M13" s="115"/>
      <c r="N13" s="23"/>
      <c r="O13" s="23"/>
      <c r="P13" s="23"/>
      <c r="Q13" s="115">
        <f>K13+M13+O13+P13+F13</f>
        <v>0</v>
      </c>
      <c r="R13" s="21"/>
      <c r="S13" s="122">
        <f t="shared" si="2"/>
        <v>0</v>
      </c>
      <c r="T13" s="121"/>
    </row>
    <row r="14" spans="1:20" ht="13.8">
      <c r="A14" s="123"/>
      <c r="B14" s="124"/>
      <c r="C14" s="124"/>
      <c r="D14" s="125"/>
      <c r="E14" s="124"/>
      <c r="F14" s="124"/>
      <c r="G14" s="126"/>
      <c r="H14" s="127"/>
      <c r="I14" s="127"/>
      <c r="J14" s="124"/>
      <c r="K14" s="127"/>
      <c r="L14" s="127"/>
      <c r="M14" s="124"/>
      <c r="N14" s="124"/>
      <c r="O14" s="124"/>
      <c r="P14" s="124"/>
      <c r="Q14" s="127"/>
      <c r="R14" s="127"/>
      <c r="S14" s="124"/>
      <c r="T14" s="128"/>
    </row>
    <row r="15" spans="1:20" ht="16.8">
      <c r="A15" s="129"/>
      <c r="B15" s="130" t="s">
        <v>79</v>
      </c>
      <c r="C15" s="130"/>
      <c r="D15" s="131"/>
      <c r="E15" s="132">
        <f t="shared" ref="E15:G15" si="6">SUM(E5:E14)</f>
        <v>28100000</v>
      </c>
      <c r="F15" s="132">
        <f t="shared" si="6"/>
        <v>25600000</v>
      </c>
      <c r="G15" s="133">
        <f t="shared" si="6"/>
        <v>14</v>
      </c>
      <c r="H15" s="132"/>
      <c r="I15" s="132"/>
      <c r="J15" s="132"/>
      <c r="K15" s="132">
        <f>SUM(K5:K13)</f>
        <v>4004000</v>
      </c>
      <c r="L15" s="132"/>
      <c r="M15" s="132">
        <f t="shared" ref="M15:P15" si="7">SUM(M5:M14)</f>
        <v>1400000</v>
      </c>
      <c r="N15" s="134">
        <f t="shared" si="7"/>
        <v>0</v>
      </c>
      <c r="O15" s="134">
        <f t="shared" si="7"/>
        <v>800000</v>
      </c>
      <c r="P15" s="132">
        <f t="shared" si="7"/>
        <v>1200000</v>
      </c>
      <c r="Q15" s="132">
        <f>SUM(Q5:Q13)</f>
        <v>33004000</v>
      </c>
      <c r="R15" s="132">
        <f>SUM(R5:R12)</f>
        <v>0</v>
      </c>
      <c r="S15" s="134">
        <f>SUM(S5:S13)</f>
        <v>33004000</v>
      </c>
      <c r="T15" s="135"/>
    </row>
    <row r="19" spans="1:5" ht="13.8">
      <c r="A19" s="176" t="s">
        <v>39</v>
      </c>
      <c r="B19" s="177"/>
      <c r="C19" s="177"/>
      <c r="D19" s="177"/>
      <c r="E19" s="178"/>
    </row>
    <row r="20" spans="1:5" ht="13.8">
      <c r="A20" s="179"/>
      <c r="B20" s="180"/>
      <c r="C20" s="180"/>
      <c r="D20" s="180"/>
      <c r="E20" s="181"/>
    </row>
    <row r="21" spans="1:5" ht="15.75" customHeight="1">
      <c r="A21" s="182" t="s">
        <v>40</v>
      </c>
      <c r="B21" s="136" t="s">
        <v>41</v>
      </c>
      <c r="C21" s="137" t="s">
        <v>42</v>
      </c>
      <c r="D21" s="137" t="s">
        <v>43</v>
      </c>
      <c r="E21" s="138" t="s">
        <v>44</v>
      </c>
    </row>
    <row r="22" spans="1:5" ht="15.75" customHeight="1">
      <c r="A22" s="183"/>
      <c r="B22" s="139" t="s">
        <v>111</v>
      </c>
      <c r="C22" s="140">
        <f>F15</f>
        <v>25600000</v>
      </c>
      <c r="D22" s="140">
        <v>15000000</v>
      </c>
      <c r="E22" s="141">
        <f t="shared" ref="E22:E27" si="8">C22-D22</f>
        <v>10600000</v>
      </c>
    </row>
    <row r="23" spans="1:5" ht="15.75" customHeight="1">
      <c r="A23" s="183"/>
      <c r="B23" s="142" t="s">
        <v>112</v>
      </c>
      <c r="C23" s="67">
        <f>K15</f>
        <v>4004000</v>
      </c>
      <c r="D23" s="23"/>
      <c r="E23" s="143">
        <f t="shared" si="8"/>
        <v>4004000</v>
      </c>
    </row>
    <row r="24" spans="1:5" ht="15.75" customHeight="1">
      <c r="A24" s="183"/>
      <c r="B24" s="142" t="s">
        <v>113</v>
      </c>
      <c r="C24" s="67">
        <f>M15</f>
        <v>1400000</v>
      </c>
      <c r="D24" s="75"/>
      <c r="E24" s="143">
        <f t="shared" si="8"/>
        <v>1400000</v>
      </c>
    </row>
    <row r="25" spans="1:5" ht="15.75" customHeight="1">
      <c r="A25" s="183"/>
      <c r="B25" s="142" t="s">
        <v>114</v>
      </c>
      <c r="C25" s="67">
        <f>P15</f>
        <v>1200000</v>
      </c>
      <c r="D25" s="23">
        <v>500000</v>
      </c>
      <c r="E25" s="143">
        <f t="shared" si="8"/>
        <v>700000</v>
      </c>
    </row>
    <row r="26" spans="1:5" ht="15.75" customHeight="1">
      <c r="A26" s="183"/>
      <c r="B26" s="142" t="s">
        <v>115</v>
      </c>
      <c r="C26" s="67">
        <f>N17</f>
        <v>0</v>
      </c>
      <c r="D26" s="67">
        <v>500000</v>
      </c>
      <c r="E26" s="143">
        <f t="shared" si="8"/>
        <v>-500000</v>
      </c>
    </row>
    <row r="27" spans="1:5" ht="15.75" customHeight="1">
      <c r="A27" s="172"/>
      <c r="B27" s="144" t="s">
        <v>52</v>
      </c>
      <c r="C27" s="145">
        <f>O15</f>
        <v>800000</v>
      </c>
      <c r="D27" s="146"/>
      <c r="E27" s="147">
        <f t="shared" si="8"/>
        <v>800000</v>
      </c>
    </row>
    <row r="28" spans="1:5" ht="15.75" customHeight="1">
      <c r="A28" s="148"/>
      <c r="B28" s="149" t="s">
        <v>57</v>
      </c>
      <c r="C28" s="150">
        <f>SUM(C22:C27)</f>
        <v>33004000</v>
      </c>
      <c r="D28" s="91"/>
      <c r="E28" s="151"/>
    </row>
    <row r="29" spans="1:5" ht="15.75" customHeight="1">
      <c r="A29" s="148"/>
      <c r="B29" s="91"/>
      <c r="C29" s="91"/>
      <c r="D29" s="184" t="s">
        <v>116</v>
      </c>
      <c r="E29" s="185">
        <f>E22+E23+E24+E25+E26+E27</f>
        <v>17004000</v>
      </c>
    </row>
    <row r="30" spans="1:5" ht="15.75" customHeight="1">
      <c r="A30" s="148"/>
      <c r="B30" s="91"/>
      <c r="C30" s="91"/>
      <c r="D30" s="172"/>
      <c r="E30" s="172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2.09765625" customWidth="1"/>
    <col min="21" max="26" width="7.59765625" customWidth="1"/>
  </cols>
  <sheetData>
    <row r="1" spans="1:20" ht="13.8">
      <c r="A1" s="189" t="s">
        <v>101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8"/>
    </row>
    <row r="2" spans="1:20" ht="13.8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1"/>
    </row>
    <row r="3" spans="1:20" ht="13.8">
      <c r="A3" s="171" t="s">
        <v>1</v>
      </c>
      <c r="B3" s="171" t="s">
        <v>2</v>
      </c>
      <c r="C3" s="171" t="s">
        <v>3</v>
      </c>
      <c r="D3" s="171" t="s">
        <v>4</v>
      </c>
      <c r="E3" s="171" t="s">
        <v>5</v>
      </c>
      <c r="F3" s="171" t="s">
        <v>6</v>
      </c>
      <c r="G3" s="171" t="s">
        <v>7</v>
      </c>
      <c r="H3" s="173" t="s">
        <v>8</v>
      </c>
      <c r="I3" s="174"/>
      <c r="J3" s="174"/>
      <c r="K3" s="175"/>
      <c r="L3" s="173" t="s">
        <v>9</v>
      </c>
      <c r="M3" s="186"/>
      <c r="N3" s="187" t="s">
        <v>10</v>
      </c>
      <c r="O3" s="171" t="s">
        <v>11</v>
      </c>
      <c r="P3" s="171" t="s">
        <v>12</v>
      </c>
      <c r="Q3" s="171" t="s">
        <v>13</v>
      </c>
      <c r="R3" s="171" t="s">
        <v>14</v>
      </c>
      <c r="S3" s="171" t="s">
        <v>15</v>
      </c>
      <c r="T3" s="171" t="s">
        <v>17</v>
      </c>
    </row>
    <row r="4" spans="1:20" ht="13.8">
      <c r="A4" s="172"/>
      <c r="B4" s="172"/>
      <c r="C4" s="172"/>
      <c r="D4" s="172"/>
      <c r="E4" s="172"/>
      <c r="F4" s="172"/>
      <c r="G4" s="172"/>
      <c r="H4" s="108" t="s">
        <v>18</v>
      </c>
      <c r="I4" s="108" t="s">
        <v>19</v>
      </c>
      <c r="J4" s="108" t="s">
        <v>70</v>
      </c>
      <c r="K4" s="109" t="s">
        <v>21</v>
      </c>
      <c r="L4" s="108" t="s">
        <v>71</v>
      </c>
      <c r="M4" s="110" t="s">
        <v>21</v>
      </c>
      <c r="N4" s="188"/>
      <c r="O4" s="172"/>
      <c r="P4" s="172"/>
      <c r="Q4" s="172"/>
      <c r="R4" s="172"/>
      <c r="S4" s="172"/>
      <c r="T4" s="172"/>
    </row>
    <row r="5" spans="1:20" ht="13.8">
      <c r="A5" s="111" t="s">
        <v>23</v>
      </c>
      <c r="B5" s="112" t="s">
        <v>102</v>
      </c>
      <c r="C5" s="113" t="s">
        <v>103</v>
      </c>
      <c r="D5" s="114" t="s">
        <v>28</v>
      </c>
      <c r="E5" s="115">
        <v>5900000</v>
      </c>
      <c r="F5" s="115">
        <v>5400000</v>
      </c>
      <c r="G5" s="116">
        <v>4</v>
      </c>
      <c r="H5" s="115">
        <v>1806</v>
      </c>
      <c r="I5" s="115">
        <v>2092</v>
      </c>
      <c r="J5" s="115">
        <v>4000</v>
      </c>
      <c r="K5" s="115">
        <f t="shared" ref="K5:K13" si="0">(I5-H5)*J5</f>
        <v>1144000</v>
      </c>
      <c r="L5" s="115">
        <v>100000</v>
      </c>
      <c r="M5" s="115">
        <f t="shared" ref="M5:M10" si="1">L5*G5</f>
        <v>400000</v>
      </c>
      <c r="N5" s="115"/>
      <c r="O5" s="115"/>
      <c r="P5" s="115">
        <v>300000</v>
      </c>
      <c r="Q5" s="115">
        <f>F5+K5+M5+O5+P5</f>
        <v>7244000</v>
      </c>
      <c r="R5" s="117"/>
      <c r="S5" s="118">
        <f t="shared" ref="S5:S13" si="2">Q5-R5</f>
        <v>7244000</v>
      </c>
      <c r="T5" s="119"/>
    </row>
    <row r="6" spans="1:20" ht="13.8">
      <c r="A6" s="120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115">
        <v>340</v>
      </c>
      <c r="I6" s="115">
        <v>428</v>
      </c>
      <c r="J6" s="21">
        <v>4000</v>
      </c>
      <c r="K6" s="113">
        <f t="shared" si="0"/>
        <v>352000</v>
      </c>
      <c r="L6" s="115">
        <v>100000</v>
      </c>
      <c r="M6" s="115">
        <f t="shared" si="1"/>
        <v>300000</v>
      </c>
      <c r="N6" s="23"/>
      <c r="O6" s="21">
        <v>200000</v>
      </c>
      <c r="P6" s="21">
        <v>250000</v>
      </c>
      <c r="Q6" s="115">
        <f t="shared" ref="Q6:Q7" si="3">F6+K6+M6+P6+O6</f>
        <v>6202000</v>
      </c>
      <c r="R6" s="21"/>
      <c r="S6" s="118">
        <f t="shared" si="2"/>
        <v>6202000</v>
      </c>
      <c r="T6" s="121"/>
    </row>
    <row r="7" spans="1:20" ht="13.8">
      <c r="A7" s="120">
        <v>102</v>
      </c>
      <c r="B7" s="67" t="s">
        <v>104</v>
      </c>
      <c r="C7" s="113" t="s">
        <v>105</v>
      </c>
      <c r="D7" s="73" t="s">
        <v>28</v>
      </c>
      <c r="E7" s="23">
        <v>5600000</v>
      </c>
      <c r="F7" s="23">
        <v>5100000</v>
      </c>
      <c r="G7" s="74">
        <v>3</v>
      </c>
      <c r="H7" s="115">
        <v>612</v>
      </c>
      <c r="I7" s="115">
        <v>733</v>
      </c>
      <c r="J7" s="23">
        <v>4000</v>
      </c>
      <c r="K7" s="113">
        <f t="shared" si="0"/>
        <v>484000</v>
      </c>
      <c r="L7" s="115">
        <v>100000</v>
      </c>
      <c r="M7" s="115">
        <f t="shared" si="1"/>
        <v>300000</v>
      </c>
      <c r="N7" s="23"/>
      <c r="O7" s="23">
        <v>300000</v>
      </c>
      <c r="P7" s="23">
        <v>250000</v>
      </c>
      <c r="Q7" s="115">
        <f t="shared" si="3"/>
        <v>6434000</v>
      </c>
      <c r="R7" s="21"/>
      <c r="S7" s="118">
        <f t="shared" si="2"/>
        <v>6434000</v>
      </c>
      <c r="T7" s="121"/>
    </row>
    <row r="8" spans="1:20" ht="13.8">
      <c r="A8" s="120">
        <v>201</v>
      </c>
      <c r="B8" s="67" t="s">
        <v>106</v>
      </c>
      <c r="C8" s="66" t="s">
        <v>107</v>
      </c>
      <c r="D8" s="73" t="s">
        <v>28</v>
      </c>
      <c r="E8" s="23">
        <v>5900000</v>
      </c>
      <c r="F8" s="23">
        <v>5400000</v>
      </c>
      <c r="G8" s="74">
        <v>2</v>
      </c>
      <c r="H8" s="115">
        <v>328</v>
      </c>
      <c r="I8" s="115">
        <v>410</v>
      </c>
      <c r="J8" s="23">
        <v>4000</v>
      </c>
      <c r="K8" s="113">
        <f t="shared" si="0"/>
        <v>328000</v>
      </c>
      <c r="L8" s="115">
        <v>100000</v>
      </c>
      <c r="M8" s="115">
        <f t="shared" si="1"/>
        <v>200000</v>
      </c>
      <c r="N8" s="23"/>
      <c r="O8" s="23">
        <v>200000</v>
      </c>
      <c r="P8" s="23">
        <v>200000</v>
      </c>
      <c r="Q8" s="115">
        <f>F8+K8+M8+O8+P8</f>
        <v>6328000</v>
      </c>
      <c r="R8" s="21"/>
      <c r="S8" s="118">
        <f t="shared" si="2"/>
        <v>6328000</v>
      </c>
      <c r="T8" s="121"/>
    </row>
    <row r="9" spans="1:20" ht="13.8">
      <c r="A9" s="120">
        <v>202</v>
      </c>
      <c r="B9" s="67" t="s">
        <v>92</v>
      </c>
      <c r="C9" s="66" t="s">
        <v>93</v>
      </c>
      <c r="D9" s="73" t="s">
        <v>94</v>
      </c>
      <c r="E9" s="23">
        <v>5100000</v>
      </c>
      <c r="F9" s="23">
        <v>4600000</v>
      </c>
      <c r="G9" s="74">
        <v>2</v>
      </c>
      <c r="H9" s="115">
        <v>176</v>
      </c>
      <c r="I9" s="115">
        <v>238</v>
      </c>
      <c r="J9" s="23">
        <v>4000</v>
      </c>
      <c r="K9" s="113">
        <f t="shared" si="0"/>
        <v>248000</v>
      </c>
      <c r="L9" s="115">
        <v>100000</v>
      </c>
      <c r="M9" s="115">
        <f t="shared" si="1"/>
        <v>200000</v>
      </c>
      <c r="N9" s="23"/>
      <c r="O9" s="23">
        <v>100000</v>
      </c>
      <c r="P9" s="23">
        <v>200000</v>
      </c>
      <c r="Q9" s="115">
        <f t="shared" ref="Q9:Q10" si="4">F9+K9+M9+P9+O9</f>
        <v>5348000</v>
      </c>
      <c r="R9" s="21"/>
      <c r="S9" s="118">
        <f t="shared" si="2"/>
        <v>5348000</v>
      </c>
      <c r="T9" s="121"/>
    </row>
    <row r="10" spans="1:20" ht="13.8">
      <c r="A10" s="120"/>
      <c r="B10" s="67"/>
      <c r="C10" s="66"/>
      <c r="D10" s="73"/>
      <c r="E10" s="23"/>
      <c r="F10" s="23"/>
      <c r="G10" s="74"/>
      <c r="H10" s="115"/>
      <c r="I10" s="115"/>
      <c r="J10" s="23"/>
      <c r="K10" s="113">
        <f t="shared" si="0"/>
        <v>0</v>
      </c>
      <c r="L10" s="115"/>
      <c r="M10" s="115">
        <f t="shared" si="1"/>
        <v>0</v>
      </c>
      <c r="N10" s="23"/>
      <c r="O10" s="23"/>
      <c r="P10" s="23"/>
      <c r="Q10" s="115">
        <f t="shared" si="4"/>
        <v>0</v>
      </c>
      <c r="R10" s="21"/>
      <c r="S10" s="122">
        <f t="shared" si="2"/>
        <v>0</v>
      </c>
      <c r="T10" s="121"/>
    </row>
    <row r="11" spans="1:20" ht="13.8">
      <c r="A11" s="120"/>
      <c r="B11" s="67"/>
      <c r="C11" s="66"/>
      <c r="D11" s="73"/>
      <c r="E11" s="23"/>
      <c r="F11" s="23"/>
      <c r="G11" s="74"/>
      <c r="H11" s="115"/>
      <c r="I11" s="115"/>
      <c r="J11" s="23"/>
      <c r="K11" s="113">
        <f t="shared" si="0"/>
        <v>0</v>
      </c>
      <c r="L11" s="115"/>
      <c r="M11" s="115"/>
      <c r="N11" s="23"/>
      <c r="O11" s="23"/>
      <c r="P11" s="23"/>
      <c r="Q11" s="115">
        <f t="shared" ref="Q11:Q12" si="5">F11+K11+M11+O11+P11</f>
        <v>0</v>
      </c>
      <c r="R11" s="21"/>
      <c r="S11" s="122">
        <f t="shared" si="2"/>
        <v>0</v>
      </c>
      <c r="T11" s="121"/>
    </row>
    <row r="12" spans="1:20" ht="13.8">
      <c r="A12" s="120"/>
      <c r="B12" s="23"/>
      <c r="C12" s="66"/>
      <c r="D12" s="73"/>
      <c r="E12" s="23"/>
      <c r="F12" s="23"/>
      <c r="G12" s="74"/>
      <c r="H12" s="115"/>
      <c r="I12" s="115"/>
      <c r="J12" s="23"/>
      <c r="K12" s="113">
        <f t="shared" si="0"/>
        <v>0</v>
      </c>
      <c r="L12" s="115"/>
      <c r="M12" s="115"/>
      <c r="N12" s="23"/>
      <c r="O12" s="23"/>
      <c r="P12" s="23"/>
      <c r="Q12" s="115">
        <f t="shared" si="5"/>
        <v>0</v>
      </c>
      <c r="R12" s="21"/>
      <c r="S12" s="122">
        <f t="shared" si="2"/>
        <v>0</v>
      </c>
      <c r="T12" s="121"/>
    </row>
    <row r="13" spans="1:20" ht="13.8">
      <c r="A13" s="120"/>
      <c r="B13" s="23"/>
      <c r="C13" s="66"/>
      <c r="D13" s="73"/>
      <c r="E13" s="23"/>
      <c r="F13" s="23"/>
      <c r="G13" s="74"/>
      <c r="H13" s="115"/>
      <c r="I13" s="115"/>
      <c r="J13" s="23"/>
      <c r="K13" s="113">
        <f t="shared" si="0"/>
        <v>0</v>
      </c>
      <c r="L13" s="115"/>
      <c r="M13" s="115"/>
      <c r="N13" s="23"/>
      <c r="O13" s="23"/>
      <c r="P13" s="23"/>
      <c r="Q13" s="115">
        <f>K13+M13+O13+P13+F13</f>
        <v>0</v>
      </c>
      <c r="R13" s="21"/>
      <c r="S13" s="122">
        <f t="shared" si="2"/>
        <v>0</v>
      </c>
      <c r="T13" s="121"/>
    </row>
    <row r="14" spans="1:20" ht="13.8">
      <c r="A14" s="123"/>
      <c r="B14" s="124"/>
      <c r="C14" s="124"/>
      <c r="D14" s="125"/>
      <c r="E14" s="124"/>
      <c r="F14" s="124"/>
      <c r="G14" s="126"/>
      <c r="H14" s="127"/>
      <c r="I14" s="127"/>
      <c r="J14" s="124"/>
      <c r="K14" s="127"/>
      <c r="L14" s="127"/>
      <c r="M14" s="124"/>
      <c r="N14" s="124"/>
      <c r="O14" s="124"/>
      <c r="P14" s="124"/>
      <c r="Q14" s="127"/>
      <c r="R14" s="127"/>
      <c r="S14" s="124"/>
      <c r="T14" s="128"/>
    </row>
    <row r="15" spans="1:20" ht="16.8">
      <c r="A15" s="129"/>
      <c r="B15" s="130" t="s">
        <v>79</v>
      </c>
      <c r="C15" s="130"/>
      <c r="D15" s="131"/>
      <c r="E15" s="132">
        <f t="shared" ref="E15:G15" si="6">SUM(E5:E14)</f>
        <v>28100000</v>
      </c>
      <c r="F15" s="132">
        <f t="shared" si="6"/>
        <v>25600000</v>
      </c>
      <c r="G15" s="133">
        <f t="shared" si="6"/>
        <v>14</v>
      </c>
      <c r="H15" s="132"/>
      <c r="I15" s="132"/>
      <c r="J15" s="132"/>
      <c r="K15" s="132">
        <f>SUM(K5:K13)</f>
        <v>2556000</v>
      </c>
      <c r="L15" s="132"/>
      <c r="M15" s="132">
        <f t="shared" ref="M15:P15" si="7">SUM(M5:M14)</f>
        <v>1400000</v>
      </c>
      <c r="N15" s="134">
        <f t="shared" si="7"/>
        <v>0</v>
      </c>
      <c r="O15" s="134">
        <f t="shared" si="7"/>
        <v>800000</v>
      </c>
      <c r="P15" s="132">
        <f t="shared" si="7"/>
        <v>1200000</v>
      </c>
      <c r="Q15" s="132">
        <f>SUM(Q5:Q13)</f>
        <v>31556000</v>
      </c>
      <c r="R15" s="132">
        <f>SUM(R5:R12)</f>
        <v>0</v>
      </c>
      <c r="S15" s="134">
        <f>SUM(S5:S13)</f>
        <v>31556000</v>
      </c>
      <c r="T15" s="135"/>
    </row>
    <row r="19" spans="1:5" ht="13.8">
      <c r="A19" s="176" t="s">
        <v>39</v>
      </c>
      <c r="B19" s="177"/>
      <c r="C19" s="177"/>
      <c r="D19" s="177"/>
      <c r="E19" s="178"/>
    </row>
    <row r="20" spans="1:5" ht="13.8">
      <c r="A20" s="179"/>
      <c r="B20" s="180"/>
      <c r="C20" s="180"/>
      <c r="D20" s="180"/>
      <c r="E20" s="181"/>
    </row>
    <row r="21" spans="1:5" ht="15.75" customHeight="1">
      <c r="A21" s="182" t="s">
        <v>40</v>
      </c>
      <c r="B21" s="136" t="s">
        <v>41</v>
      </c>
      <c r="C21" s="137" t="s">
        <v>42</v>
      </c>
      <c r="D21" s="137" t="s">
        <v>43</v>
      </c>
      <c r="E21" s="138" t="s">
        <v>44</v>
      </c>
    </row>
    <row r="22" spans="1:5" ht="15.75" customHeight="1">
      <c r="A22" s="183"/>
      <c r="B22" s="139" t="s">
        <v>111</v>
      </c>
      <c r="C22" s="140">
        <f>F15</f>
        <v>25600000</v>
      </c>
      <c r="D22" s="140">
        <v>15000000</v>
      </c>
      <c r="E22" s="141">
        <f t="shared" ref="E22:E27" si="8">C22-D22</f>
        <v>10600000</v>
      </c>
    </row>
    <row r="23" spans="1:5" ht="15.75" customHeight="1">
      <c r="A23" s="183"/>
      <c r="B23" s="142" t="s">
        <v>112</v>
      </c>
      <c r="C23" s="67">
        <f>K15</f>
        <v>2556000</v>
      </c>
      <c r="D23" s="23"/>
      <c r="E23" s="143">
        <f t="shared" si="8"/>
        <v>2556000</v>
      </c>
    </row>
    <row r="24" spans="1:5" ht="15.75" customHeight="1">
      <c r="A24" s="183"/>
      <c r="B24" s="142" t="s">
        <v>113</v>
      </c>
      <c r="C24" s="67">
        <f>M15</f>
        <v>1400000</v>
      </c>
      <c r="D24" s="75"/>
      <c r="E24" s="143">
        <f t="shared" si="8"/>
        <v>1400000</v>
      </c>
    </row>
    <row r="25" spans="1:5" ht="15.75" customHeight="1">
      <c r="A25" s="183"/>
      <c r="B25" s="142" t="s">
        <v>114</v>
      </c>
      <c r="C25" s="67">
        <f>P15</f>
        <v>1200000</v>
      </c>
      <c r="D25" s="23">
        <v>500000</v>
      </c>
      <c r="E25" s="143">
        <f t="shared" si="8"/>
        <v>700000</v>
      </c>
    </row>
    <row r="26" spans="1:5" ht="15.75" customHeight="1">
      <c r="A26" s="183"/>
      <c r="B26" s="142" t="s">
        <v>115</v>
      </c>
      <c r="C26" s="67">
        <f>N17</f>
        <v>0</v>
      </c>
      <c r="D26" s="67">
        <v>500000</v>
      </c>
      <c r="E26" s="143">
        <f t="shared" si="8"/>
        <v>-500000</v>
      </c>
    </row>
    <row r="27" spans="1:5" ht="15.75" customHeight="1">
      <c r="A27" s="172"/>
      <c r="B27" s="144" t="s">
        <v>52</v>
      </c>
      <c r="C27" s="145">
        <f>O15</f>
        <v>800000</v>
      </c>
      <c r="D27" s="146"/>
      <c r="E27" s="147">
        <f t="shared" si="8"/>
        <v>800000</v>
      </c>
    </row>
    <row r="28" spans="1:5" ht="15.75" customHeight="1">
      <c r="A28" s="148"/>
      <c r="B28" s="149" t="s">
        <v>57</v>
      </c>
      <c r="C28" s="150">
        <f>SUM(C22:C27)</f>
        <v>31556000</v>
      </c>
      <c r="D28" s="91"/>
      <c r="E28" s="151"/>
    </row>
    <row r="29" spans="1:5" ht="15.75" customHeight="1">
      <c r="A29" s="148"/>
      <c r="B29" s="91"/>
      <c r="C29" s="91"/>
      <c r="D29" s="184" t="s">
        <v>116</v>
      </c>
      <c r="E29" s="185">
        <f>E22+E23+E24+E25+E26+E27</f>
        <v>15556000</v>
      </c>
    </row>
    <row r="30" spans="1:5" ht="15.75" customHeight="1">
      <c r="A30" s="148"/>
      <c r="B30" s="91"/>
      <c r="C30" s="91"/>
      <c r="D30" s="172"/>
      <c r="E30" s="172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9.69921875" customWidth="1"/>
    <col min="21" max="26" width="7.59765625" customWidth="1"/>
  </cols>
  <sheetData>
    <row r="1" spans="1:20" ht="13.8">
      <c r="A1" s="189" t="s">
        <v>101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8"/>
    </row>
    <row r="2" spans="1:20" ht="13.8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1"/>
    </row>
    <row r="3" spans="1:20" ht="13.8">
      <c r="A3" s="171" t="s">
        <v>1</v>
      </c>
      <c r="B3" s="171" t="s">
        <v>2</v>
      </c>
      <c r="C3" s="171" t="s">
        <v>3</v>
      </c>
      <c r="D3" s="171" t="s">
        <v>4</v>
      </c>
      <c r="E3" s="171" t="s">
        <v>5</v>
      </c>
      <c r="F3" s="171" t="s">
        <v>6</v>
      </c>
      <c r="G3" s="171" t="s">
        <v>7</v>
      </c>
      <c r="H3" s="173" t="s">
        <v>8</v>
      </c>
      <c r="I3" s="174"/>
      <c r="J3" s="174"/>
      <c r="K3" s="175"/>
      <c r="L3" s="173" t="s">
        <v>9</v>
      </c>
      <c r="M3" s="186"/>
      <c r="N3" s="187" t="s">
        <v>10</v>
      </c>
      <c r="O3" s="171" t="s">
        <v>11</v>
      </c>
      <c r="P3" s="171" t="s">
        <v>12</v>
      </c>
      <c r="Q3" s="171" t="s">
        <v>13</v>
      </c>
      <c r="R3" s="171" t="s">
        <v>14</v>
      </c>
      <c r="S3" s="171" t="s">
        <v>15</v>
      </c>
      <c r="T3" s="171" t="s">
        <v>17</v>
      </c>
    </row>
    <row r="4" spans="1:20" ht="13.8">
      <c r="A4" s="172"/>
      <c r="B4" s="172"/>
      <c r="C4" s="172"/>
      <c r="D4" s="172"/>
      <c r="E4" s="172"/>
      <c r="F4" s="172"/>
      <c r="G4" s="172"/>
      <c r="H4" s="108" t="s">
        <v>18</v>
      </c>
      <c r="I4" s="108" t="s">
        <v>19</v>
      </c>
      <c r="J4" s="108" t="s">
        <v>70</v>
      </c>
      <c r="K4" s="109" t="s">
        <v>21</v>
      </c>
      <c r="L4" s="108" t="s">
        <v>71</v>
      </c>
      <c r="M4" s="110" t="s">
        <v>21</v>
      </c>
      <c r="N4" s="188"/>
      <c r="O4" s="172"/>
      <c r="P4" s="172"/>
      <c r="Q4" s="172"/>
      <c r="R4" s="172"/>
      <c r="S4" s="172"/>
      <c r="T4" s="172"/>
    </row>
    <row r="5" spans="1:20" ht="13.8">
      <c r="A5" s="111" t="s">
        <v>23</v>
      </c>
      <c r="B5" s="112" t="s">
        <v>102</v>
      </c>
      <c r="C5" s="113" t="s">
        <v>103</v>
      </c>
      <c r="D5" s="114" t="s">
        <v>28</v>
      </c>
      <c r="E5" s="115">
        <v>5900000</v>
      </c>
      <c r="F5" s="115">
        <v>2975000</v>
      </c>
      <c r="G5" s="116"/>
      <c r="H5" s="115">
        <v>2092</v>
      </c>
      <c r="I5" s="115">
        <v>2773</v>
      </c>
      <c r="J5" s="115">
        <v>4000</v>
      </c>
      <c r="K5" s="115">
        <f t="shared" ref="K5:K13" si="0">(I5-H5)*J5</f>
        <v>2724000</v>
      </c>
      <c r="L5" s="115">
        <v>100000</v>
      </c>
      <c r="M5" s="115">
        <f t="shared" ref="M5:M10" si="1">L5*G5</f>
        <v>0</v>
      </c>
      <c r="N5" s="115"/>
      <c r="O5" s="115"/>
      <c r="P5" s="115"/>
      <c r="Q5" s="115">
        <f>F5+K5+M5+O5+P5</f>
        <v>5699000</v>
      </c>
      <c r="R5" s="117"/>
      <c r="S5" s="122">
        <f t="shared" ref="S5:S13" si="2">Q5-R5</f>
        <v>5699000</v>
      </c>
      <c r="T5" s="119" t="s">
        <v>117</v>
      </c>
    </row>
    <row r="6" spans="1:20" ht="13.8">
      <c r="A6" s="120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115">
        <v>428</v>
      </c>
      <c r="I6" s="115">
        <v>525</v>
      </c>
      <c r="J6" s="21">
        <v>4000</v>
      </c>
      <c r="K6" s="113">
        <f t="shared" si="0"/>
        <v>388000</v>
      </c>
      <c r="L6" s="115">
        <v>100000</v>
      </c>
      <c r="M6" s="115">
        <f t="shared" si="1"/>
        <v>300000</v>
      </c>
      <c r="N6" s="23"/>
      <c r="O6" s="21">
        <v>200000</v>
      </c>
      <c r="P6" s="21">
        <v>250000</v>
      </c>
      <c r="Q6" s="115">
        <f t="shared" ref="Q6:Q7" si="3">F6+K6+M6+P6+O6</f>
        <v>6238000</v>
      </c>
      <c r="R6" s="21"/>
      <c r="S6" s="118">
        <f t="shared" si="2"/>
        <v>6238000</v>
      </c>
      <c r="T6" s="121"/>
    </row>
    <row r="7" spans="1:20" ht="13.8">
      <c r="A7" s="120">
        <v>102</v>
      </c>
      <c r="B7" s="67" t="s">
        <v>104</v>
      </c>
      <c r="C7" s="113" t="s">
        <v>105</v>
      </c>
      <c r="D7" s="73" t="s">
        <v>28</v>
      </c>
      <c r="E7" s="23">
        <v>5600000</v>
      </c>
      <c r="F7" s="23">
        <v>5100000</v>
      </c>
      <c r="G7" s="74">
        <v>3</v>
      </c>
      <c r="H7" s="115">
        <v>733</v>
      </c>
      <c r="I7" s="115">
        <v>914</v>
      </c>
      <c r="J7" s="23">
        <v>4000</v>
      </c>
      <c r="K7" s="113">
        <f t="shared" si="0"/>
        <v>724000</v>
      </c>
      <c r="L7" s="115">
        <v>100000</v>
      </c>
      <c r="M7" s="115">
        <f t="shared" si="1"/>
        <v>300000</v>
      </c>
      <c r="N7" s="23"/>
      <c r="O7" s="23">
        <v>300000</v>
      </c>
      <c r="P7" s="23">
        <v>250000</v>
      </c>
      <c r="Q7" s="115">
        <f t="shared" si="3"/>
        <v>6674000</v>
      </c>
      <c r="R7" s="21"/>
      <c r="S7" s="118">
        <f t="shared" si="2"/>
        <v>6674000</v>
      </c>
      <c r="T7" s="121" t="s">
        <v>118</v>
      </c>
    </row>
    <row r="8" spans="1:20" ht="13.8">
      <c r="A8" s="120">
        <v>201</v>
      </c>
      <c r="B8" s="67" t="s">
        <v>106</v>
      </c>
      <c r="C8" s="66" t="s">
        <v>107</v>
      </c>
      <c r="D8" s="73" t="s">
        <v>28</v>
      </c>
      <c r="E8" s="23">
        <v>5900000</v>
      </c>
      <c r="F8" s="23">
        <v>5400000</v>
      </c>
      <c r="G8" s="74">
        <v>2</v>
      </c>
      <c r="H8" s="115">
        <v>410</v>
      </c>
      <c r="I8" s="115">
        <v>551</v>
      </c>
      <c r="J8" s="23">
        <v>4000</v>
      </c>
      <c r="K8" s="113">
        <f t="shared" si="0"/>
        <v>564000</v>
      </c>
      <c r="L8" s="115">
        <v>100000</v>
      </c>
      <c r="M8" s="115">
        <f t="shared" si="1"/>
        <v>200000</v>
      </c>
      <c r="N8" s="23"/>
      <c r="O8" s="23">
        <v>200000</v>
      </c>
      <c r="P8" s="23">
        <v>200000</v>
      </c>
      <c r="Q8" s="115">
        <f>F8+K8+M8+O8+P8</f>
        <v>6564000</v>
      </c>
      <c r="R8" s="21"/>
      <c r="S8" s="118">
        <f t="shared" si="2"/>
        <v>6564000</v>
      </c>
      <c r="T8" s="121"/>
    </row>
    <row r="9" spans="1:20" ht="13.8">
      <c r="A9" s="120">
        <v>202</v>
      </c>
      <c r="B9" s="67" t="s">
        <v>92</v>
      </c>
      <c r="C9" s="66" t="s">
        <v>93</v>
      </c>
      <c r="D9" s="73" t="s">
        <v>94</v>
      </c>
      <c r="E9" s="23">
        <v>5100000</v>
      </c>
      <c r="F9" s="23">
        <v>4600000</v>
      </c>
      <c r="G9" s="74">
        <v>2</v>
      </c>
      <c r="H9" s="115">
        <v>238</v>
      </c>
      <c r="I9" s="115">
        <v>335</v>
      </c>
      <c r="J9" s="23">
        <v>4000</v>
      </c>
      <c r="K9" s="113">
        <f t="shared" si="0"/>
        <v>388000</v>
      </c>
      <c r="L9" s="115">
        <v>100000</v>
      </c>
      <c r="M9" s="115">
        <f t="shared" si="1"/>
        <v>200000</v>
      </c>
      <c r="N9" s="23"/>
      <c r="O9" s="23">
        <v>200000</v>
      </c>
      <c r="P9" s="23">
        <v>200000</v>
      </c>
      <c r="Q9" s="115">
        <f t="shared" ref="Q9:Q10" si="4">F9+K9+M9+P9+O9</f>
        <v>5588000</v>
      </c>
      <c r="R9" s="21"/>
      <c r="S9" s="118">
        <f t="shared" si="2"/>
        <v>5588000</v>
      </c>
      <c r="T9" s="121"/>
    </row>
    <row r="10" spans="1:20" ht="13.8">
      <c r="A10" s="120"/>
      <c r="B10" s="67"/>
      <c r="C10" s="66"/>
      <c r="D10" s="73"/>
      <c r="E10" s="23"/>
      <c r="F10" s="23"/>
      <c r="G10" s="74"/>
      <c r="H10" s="115"/>
      <c r="I10" s="115"/>
      <c r="J10" s="23"/>
      <c r="K10" s="113">
        <f t="shared" si="0"/>
        <v>0</v>
      </c>
      <c r="L10" s="115"/>
      <c r="M10" s="115">
        <f t="shared" si="1"/>
        <v>0</v>
      </c>
      <c r="N10" s="23"/>
      <c r="O10" s="23"/>
      <c r="P10" s="23"/>
      <c r="Q10" s="115">
        <f t="shared" si="4"/>
        <v>0</v>
      </c>
      <c r="R10" s="21"/>
      <c r="S10" s="122">
        <f t="shared" si="2"/>
        <v>0</v>
      </c>
      <c r="T10" s="121"/>
    </row>
    <row r="11" spans="1:20" ht="13.8">
      <c r="A11" s="120"/>
      <c r="B11" s="67"/>
      <c r="C11" s="66"/>
      <c r="D11" s="73"/>
      <c r="E11" s="23"/>
      <c r="F11" s="23"/>
      <c r="G11" s="74"/>
      <c r="H11" s="115"/>
      <c r="I11" s="115"/>
      <c r="J11" s="23"/>
      <c r="K11" s="113">
        <f t="shared" si="0"/>
        <v>0</v>
      </c>
      <c r="L11" s="115"/>
      <c r="M11" s="115"/>
      <c r="N11" s="23"/>
      <c r="O11" s="23"/>
      <c r="P11" s="23"/>
      <c r="Q11" s="115">
        <f t="shared" ref="Q11:Q12" si="5">F11+K11+M11+O11+P11</f>
        <v>0</v>
      </c>
      <c r="R11" s="21"/>
      <c r="S11" s="122">
        <f t="shared" si="2"/>
        <v>0</v>
      </c>
      <c r="T11" s="121"/>
    </row>
    <row r="12" spans="1:20" ht="13.8">
      <c r="A12" s="120"/>
      <c r="B12" s="23"/>
      <c r="C12" s="66"/>
      <c r="D12" s="73"/>
      <c r="E12" s="23"/>
      <c r="F12" s="23"/>
      <c r="G12" s="74"/>
      <c r="H12" s="115"/>
      <c r="I12" s="115"/>
      <c r="J12" s="23"/>
      <c r="K12" s="113">
        <f t="shared" si="0"/>
        <v>0</v>
      </c>
      <c r="L12" s="115"/>
      <c r="M12" s="115"/>
      <c r="N12" s="23"/>
      <c r="O12" s="23"/>
      <c r="P12" s="23"/>
      <c r="Q12" s="115">
        <f t="shared" si="5"/>
        <v>0</v>
      </c>
      <c r="R12" s="21"/>
      <c r="S12" s="122">
        <f t="shared" si="2"/>
        <v>0</v>
      </c>
      <c r="T12" s="121"/>
    </row>
    <row r="13" spans="1:20" ht="13.8">
      <c r="A13" s="120"/>
      <c r="B13" s="23"/>
      <c r="C13" s="66"/>
      <c r="D13" s="73"/>
      <c r="E13" s="23"/>
      <c r="F13" s="23"/>
      <c r="G13" s="74"/>
      <c r="H13" s="115"/>
      <c r="I13" s="115"/>
      <c r="J13" s="23"/>
      <c r="K13" s="113">
        <f t="shared" si="0"/>
        <v>0</v>
      </c>
      <c r="L13" s="115"/>
      <c r="M13" s="115"/>
      <c r="N13" s="23"/>
      <c r="O13" s="23"/>
      <c r="P13" s="23"/>
      <c r="Q13" s="115">
        <f>K13+M13+O13+P13+F13</f>
        <v>0</v>
      </c>
      <c r="R13" s="21"/>
      <c r="S13" s="122">
        <f t="shared" si="2"/>
        <v>0</v>
      </c>
      <c r="T13" s="121"/>
    </row>
    <row r="14" spans="1:20" ht="13.8">
      <c r="A14" s="123"/>
      <c r="B14" s="124"/>
      <c r="C14" s="124"/>
      <c r="D14" s="125"/>
      <c r="E14" s="124"/>
      <c r="F14" s="124"/>
      <c r="G14" s="126"/>
      <c r="H14" s="127"/>
      <c r="I14" s="127"/>
      <c r="J14" s="124"/>
      <c r="K14" s="127"/>
      <c r="L14" s="127"/>
      <c r="M14" s="124"/>
      <c r="N14" s="124"/>
      <c r="O14" s="124"/>
      <c r="P14" s="124"/>
      <c r="Q14" s="127"/>
      <c r="R14" s="127"/>
      <c r="S14" s="124"/>
      <c r="T14" s="128"/>
    </row>
    <row r="15" spans="1:20" ht="16.8">
      <c r="A15" s="129"/>
      <c r="B15" s="130" t="s">
        <v>79</v>
      </c>
      <c r="C15" s="130"/>
      <c r="D15" s="131"/>
      <c r="E15" s="132">
        <f t="shared" ref="E15:G15" si="6">SUM(E5:E14)</f>
        <v>28100000</v>
      </c>
      <c r="F15" s="132">
        <f t="shared" si="6"/>
        <v>23175000</v>
      </c>
      <c r="G15" s="133">
        <f t="shared" si="6"/>
        <v>10</v>
      </c>
      <c r="H15" s="132"/>
      <c r="I15" s="132"/>
      <c r="J15" s="132"/>
      <c r="K15" s="132">
        <f>SUM(K5:K13)</f>
        <v>4788000</v>
      </c>
      <c r="L15" s="132"/>
      <c r="M15" s="132">
        <f t="shared" ref="M15:P15" si="7">SUM(M5:M14)</f>
        <v>1000000</v>
      </c>
      <c r="N15" s="134">
        <f t="shared" si="7"/>
        <v>0</v>
      </c>
      <c r="O15" s="134">
        <f t="shared" si="7"/>
        <v>900000</v>
      </c>
      <c r="P15" s="132">
        <f t="shared" si="7"/>
        <v>900000</v>
      </c>
      <c r="Q15" s="132">
        <f>SUM(Q5:Q13)</f>
        <v>30763000</v>
      </c>
      <c r="R15" s="132">
        <f>SUM(R5:R12)</f>
        <v>0</v>
      </c>
      <c r="S15" s="134">
        <f>SUM(S5:S13)</f>
        <v>30763000</v>
      </c>
      <c r="T15" s="135"/>
    </row>
    <row r="19" spans="1:5" ht="13.8">
      <c r="A19" s="176" t="s">
        <v>39</v>
      </c>
      <c r="B19" s="177"/>
      <c r="C19" s="177"/>
      <c r="D19" s="177"/>
      <c r="E19" s="178"/>
    </row>
    <row r="20" spans="1:5" ht="13.8">
      <c r="A20" s="179"/>
      <c r="B20" s="180"/>
      <c r="C20" s="180"/>
      <c r="D20" s="180"/>
      <c r="E20" s="181"/>
    </row>
    <row r="21" spans="1:5" ht="15.75" customHeight="1">
      <c r="A21" s="182" t="s">
        <v>40</v>
      </c>
      <c r="B21" s="136" t="s">
        <v>41</v>
      </c>
      <c r="C21" s="137" t="s">
        <v>42</v>
      </c>
      <c r="D21" s="137" t="s">
        <v>43</v>
      </c>
      <c r="E21" s="138" t="s">
        <v>44</v>
      </c>
    </row>
    <row r="22" spans="1:5" ht="15.75" customHeight="1">
      <c r="A22" s="183"/>
      <c r="B22" s="139" t="s">
        <v>111</v>
      </c>
      <c r="C22" s="140">
        <f>F15</f>
        <v>23175000</v>
      </c>
      <c r="D22" s="140">
        <v>15000000</v>
      </c>
      <c r="E22" s="141">
        <f t="shared" ref="E22:E27" si="8">C22-D22</f>
        <v>8175000</v>
      </c>
    </row>
    <row r="23" spans="1:5" ht="15.75" customHeight="1">
      <c r="A23" s="183"/>
      <c r="B23" s="142" t="s">
        <v>112</v>
      </c>
      <c r="C23" s="67">
        <f>K15</f>
        <v>4788000</v>
      </c>
      <c r="D23" s="23"/>
      <c r="E23" s="143">
        <f t="shared" si="8"/>
        <v>4788000</v>
      </c>
    </row>
    <row r="24" spans="1:5" ht="15.75" customHeight="1">
      <c r="A24" s="183"/>
      <c r="B24" s="142" t="s">
        <v>113</v>
      </c>
      <c r="C24" s="67">
        <f>M15</f>
        <v>1000000</v>
      </c>
      <c r="D24" s="75"/>
      <c r="E24" s="143">
        <f t="shared" si="8"/>
        <v>1000000</v>
      </c>
    </row>
    <row r="25" spans="1:5" ht="15.75" customHeight="1">
      <c r="A25" s="183"/>
      <c r="B25" s="142" t="s">
        <v>114</v>
      </c>
      <c r="C25" s="67">
        <f>P15</f>
        <v>900000</v>
      </c>
      <c r="D25" s="23">
        <v>500000</v>
      </c>
      <c r="E25" s="143">
        <f t="shared" si="8"/>
        <v>400000</v>
      </c>
    </row>
    <row r="26" spans="1:5" ht="15.75" customHeight="1">
      <c r="A26" s="183"/>
      <c r="B26" s="142" t="s">
        <v>115</v>
      </c>
      <c r="C26" s="67">
        <f>N17</f>
        <v>0</v>
      </c>
      <c r="D26" s="67">
        <v>500000</v>
      </c>
      <c r="E26" s="143">
        <f t="shared" si="8"/>
        <v>-500000</v>
      </c>
    </row>
    <row r="27" spans="1:5" ht="15.75" customHeight="1">
      <c r="A27" s="172"/>
      <c r="B27" s="144" t="s">
        <v>52</v>
      </c>
      <c r="C27" s="145">
        <f>O15</f>
        <v>900000</v>
      </c>
      <c r="D27" s="146"/>
      <c r="E27" s="147">
        <f t="shared" si="8"/>
        <v>900000</v>
      </c>
    </row>
    <row r="28" spans="1:5" ht="15.75" customHeight="1">
      <c r="A28" s="148"/>
      <c r="B28" s="149" t="s">
        <v>57</v>
      </c>
      <c r="C28" s="150">
        <f>SUM(C22:C27)</f>
        <v>30763000</v>
      </c>
      <c r="D28" s="91"/>
      <c r="E28" s="151"/>
    </row>
    <row r="29" spans="1:5" ht="15.75" customHeight="1">
      <c r="A29" s="148"/>
      <c r="B29" s="91"/>
      <c r="C29" s="91"/>
      <c r="D29" s="184" t="s">
        <v>116</v>
      </c>
      <c r="E29" s="185">
        <f>E22+E23+E24+E25+E26+E27</f>
        <v>14763000</v>
      </c>
    </row>
    <row r="30" spans="1:5" ht="15.75" customHeight="1">
      <c r="A30" s="148"/>
      <c r="B30" s="91"/>
      <c r="C30" s="91"/>
      <c r="D30" s="172"/>
      <c r="E30" s="172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9.69921875" customWidth="1"/>
    <col min="21" max="26" width="7.59765625" customWidth="1"/>
  </cols>
  <sheetData>
    <row r="1" spans="1:20" ht="13.8">
      <c r="A1" s="189" t="s">
        <v>101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8"/>
    </row>
    <row r="2" spans="1:20" ht="13.8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1"/>
    </row>
    <row r="3" spans="1:20" ht="13.8">
      <c r="A3" s="171" t="s">
        <v>1</v>
      </c>
      <c r="B3" s="171" t="s">
        <v>2</v>
      </c>
      <c r="C3" s="171" t="s">
        <v>3</v>
      </c>
      <c r="D3" s="171" t="s">
        <v>4</v>
      </c>
      <c r="E3" s="171" t="s">
        <v>5</v>
      </c>
      <c r="F3" s="171" t="s">
        <v>6</v>
      </c>
      <c r="G3" s="171" t="s">
        <v>7</v>
      </c>
      <c r="H3" s="173" t="s">
        <v>8</v>
      </c>
      <c r="I3" s="174"/>
      <c r="J3" s="174"/>
      <c r="K3" s="175"/>
      <c r="L3" s="173" t="s">
        <v>9</v>
      </c>
      <c r="M3" s="186"/>
      <c r="N3" s="187" t="s">
        <v>10</v>
      </c>
      <c r="O3" s="171" t="s">
        <v>11</v>
      </c>
      <c r="P3" s="171" t="s">
        <v>12</v>
      </c>
      <c r="Q3" s="171" t="s">
        <v>13</v>
      </c>
      <c r="R3" s="171" t="s">
        <v>14</v>
      </c>
      <c r="S3" s="171" t="s">
        <v>15</v>
      </c>
      <c r="T3" s="171" t="s">
        <v>17</v>
      </c>
    </row>
    <row r="4" spans="1:20" ht="13.8">
      <c r="A4" s="172"/>
      <c r="B4" s="172"/>
      <c r="C4" s="172"/>
      <c r="D4" s="172"/>
      <c r="E4" s="172"/>
      <c r="F4" s="172"/>
      <c r="G4" s="172"/>
      <c r="H4" s="108" t="s">
        <v>18</v>
      </c>
      <c r="I4" s="108" t="s">
        <v>19</v>
      </c>
      <c r="J4" s="108" t="s">
        <v>70</v>
      </c>
      <c r="K4" s="109" t="s">
        <v>21</v>
      </c>
      <c r="L4" s="108" t="s">
        <v>71</v>
      </c>
      <c r="M4" s="110" t="s">
        <v>21</v>
      </c>
      <c r="N4" s="188"/>
      <c r="O4" s="172"/>
      <c r="P4" s="172"/>
      <c r="Q4" s="172"/>
      <c r="R4" s="172"/>
      <c r="S4" s="172"/>
      <c r="T4" s="172"/>
    </row>
    <row r="5" spans="1:20" ht="13.8">
      <c r="A5" s="111" t="s">
        <v>23</v>
      </c>
      <c r="B5" s="112" t="s">
        <v>119</v>
      </c>
      <c r="C5" s="113" t="s">
        <v>120</v>
      </c>
      <c r="D5" s="114" t="s">
        <v>31</v>
      </c>
      <c r="E5" s="115">
        <v>5900000</v>
      </c>
      <c r="F5" s="115">
        <v>5400000</v>
      </c>
      <c r="G5" s="116">
        <v>3</v>
      </c>
      <c r="H5" s="115">
        <v>2824</v>
      </c>
      <c r="I5" s="115">
        <v>2931</v>
      </c>
      <c r="J5" s="115">
        <v>4000</v>
      </c>
      <c r="K5" s="115">
        <f t="shared" ref="K5:K13" si="0">(I5-H5)*J5</f>
        <v>428000</v>
      </c>
      <c r="L5" s="115">
        <v>100000</v>
      </c>
      <c r="M5" s="115">
        <f t="shared" ref="M5:M10" si="1">L5*G5</f>
        <v>300000</v>
      </c>
      <c r="N5" s="115"/>
      <c r="O5" s="115"/>
      <c r="P5" s="115">
        <v>250000</v>
      </c>
      <c r="Q5" s="115">
        <f>F5+K5+M5+O5+P5</f>
        <v>6378000</v>
      </c>
      <c r="R5" s="117"/>
      <c r="S5" s="118">
        <f t="shared" ref="S5:S13" si="2">Q5-R5</f>
        <v>6378000</v>
      </c>
      <c r="T5" s="119"/>
    </row>
    <row r="6" spans="1:20" ht="13.8">
      <c r="A6" s="120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115">
        <v>525</v>
      </c>
      <c r="I6" s="115">
        <v>639</v>
      </c>
      <c r="J6" s="21">
        <v>4000</v>
      </c>
      <c r="K6" s="113">
        <f t="shared" si="0"/>
        <v>456000</v>
      </c>
      <c r="L6" s="115">
        <v>100000</v>
      </c>
      <c r="M6" s="115">
        <f t="shared" si="1"/>
        <v>300000</v>
      </c>
      <c r="N6" s="23"/>
      <c r="O6" s="21">
        <v>200000</v>
      </c>
      <c r="P6" s="21">
        <v>250000</v>
      </c>
      <c r="Q6" s="115">
        <f t="shared" ref="Q6:Q7" si="3">F6+K6+M6+P6+O6</f>
        <v>6306000</v>
      </c>
      <c r="R6" s="21"/>
      <c r="S6" s="118">
        <f t="shared" si="2"/>
        <v>6306000</v>
      </c>
      <c r="T6" s="121"/>
    </row>
    <row r="7" spans="1:20" ht="13.8">
      <c r="A7" s="120">
        <v>102</v>
      </c>
      <c r="B7" s="67" t="s">
        <v>30</v>
      </c>
      <c r="C7" s="113" t="s">
        <v>75</v>
      </c>
      <c r="D7" s="73" t="s">
        <v>31</v>
      </c>
      <c r="E7" s="23">
        <v>5500000</v>
      </c>
      <c r="F7" s="23">
        <v>5000000</v>
      </c>
      <c r="G7" s="74">
        <v>2</v>
      </c>
      <c r="H7" s="115">
        <v>914</v>
      </c>
      <c r="I7" s="115">
        <v>1209</v>
      </c>
      <c r="J7" s="23">
        <v>4000</v>
      </c>
      <c r="K7" s="113">
        <f t="shared" si="0"/>
        <v>1180000</v>
      </c>
      <c r="L7" s="115">
        <v>100000</v>
      </c>
      <c r="M7" s="115">
        <f t="shared" si="1"/>
        <v>200000</v>
      </c>
      <c r="N7" s="23"/>
      <c r="O7" s="23"/>
      <c r="P7" s="23">
        <v>200000</v>
      </c>
      <c r="Q7" s="115">
        <f t="shared" si="3"/>
        <v>6580000</v>
      </c>
      <c r="R7" s="21"/>
      <c r="S7" s="118">
        <f t="shared" si="2"/>
        <v>6580000</v>
      </c>
      <c r="T7" s="121" t="s">
        <v>121</v>
      </c>
    </row>
    <row r="8" spans="1:20" ht="13.8">
      <c r="A8" s="120">
        <v>201</v>
      </c>
      <c r="B8" s="67" t="s">
        <v>106</v>
      </c>
      <c r="C8" s="66" t="s">
        <v>107</v>
      </c>
      <c r="D8" s="73" t="s">
        <v>28</v>
      </c>
      <c r="E8" s="23">
        <v>5900000</v>
      </c>
      <c r="F8" s="23">
        <v>4060000</v>
      </c>
      <c r="G8" s="74"/>
      <c r="H8" s="115">
        <v>551</v>
      </c>
      <c r="I8" s="115">
        <v>663</v>
      </c>
      <c r="J8" s="23">
        <v>4000</v>
      </c>
      <c r="K8" s="113">
        <f t="shared" si="0"/>
        <v>448000</v>
      </c>
      <c r="L8" s="115">
        <v>100000</v>
      </c>
      <c r="M8" s="115">
        <f t="shared" si="1"/>
        <v>0</v>
      </c>
      <c r="N8" s="23"/>
      <c r="O8" s="23"/>
      <c r="P8" s="23"/>
      <c r="Q8" s="115">
        <f>F8+K8+M8+O8+P8</f>
        <v>4508000</v>
      </c>
      <c r="R8" s="21"/>
      <c r="S8" s="118">
        <f t="shared" si="2"/>
        <v>4508000</v>
      </c>
      <c r="T8" s="121" t="s">
        <v>117</v>
      </c>
    </row>
    <row r="9" spans="1:20" ht="13.8">
      <c r="A9" s="120">
        <v>202</v>
      </c>
      <c r="B9" s="67" t="s">
        <v>92</v>
      </c>
      <c r="C9" s="66" t="s">
        <v>93</v>
      </c>
      <c r="D9" s="73" t="s">
        <v>94</v>
      </c>
      <c r="E9" s="23">
        <v>5100000</v>
      </c>
      <c r="F9" s="23">
        <v>4600000</v>
      </c>
      <c r="G9" s="74">
        <v>2</v>
      </c>
      <c r="H9" s="115">
        <v>335</v>
      </c>
      <c r="I9" s="115">
        <v>474</v>
      </c>
      <c r="J9" s="23">
        <v>4000</v>
      </c>
      <c r="K9" s="113">
        <f t="shared" si="0"/>
        <v>556000</v>
      </c>
      <c r="L9" s="115">
        <v>100000</v>
      </c>
      <c r="M9" s="115">
        <f t="shared" si="1"/>
        <v>200000</v>
      </c>
      <c r="N9" s="23"/>
      <c r="O9" s="23">
        <v>200000</v>
      </c>
      <c r="P9" s="23">
        <v>200000</v>
      </c>
      <c r="Q9" s="115">
        <f t="shared" ref="Q9:Q10" si="4">F9+K9+M9+P9+O9</f>
        <v>5756000</v>
      </c>
      <c r="R9" s="21"/>
      <c r="S9" s="118">
        <f t="shared" si="2"/>
        <v>5756000</v>
      </c>
      <c r="T9" s="121"/>
    </row>
    <row r="10" spans="1:20" ht="13.8">
      <c r="A10" s="120"/>
      <c r="B10" s="67"/>
      <c r="C10" s="66"/>
      <c r="D10" s="73"/>
      <c r="E10" s="23"/>
      <c r="F10" s="23"/>
      <c r="G10" s="74"/>
      <c r="H10" s="115"/>
      <c r="I10" s="115"/>
      <c r="J10" s="23"/>
      <c r="K10" s="113">
        <f t="shared" si="0"/>
        <v>0</v>
      </c>
      <c r="L10" s="115"/>
      <c r="M10" s="115">
        <f t="shared" si="1"/>
        <v>0</v>
      </c>
      <c r="N10" s="23"/>
      <c r="O10" s="23"/>
      <c r="P10" s="23"/>
      <c r="Q10" s="115">
        <f t="shared" si="4"/>
        <v>0</v>
      </c>
      <c r="R10" s="21"/>
      <c r="S10" s="122">
        <f t="shared" si="2"/>
        <v>0</v>
      </c>
      <c r="T10" s="121"/>
    </row>
    <row r="11" spans="1:20" ht="13.8">
      <c r="A11" s="120"/>
      <c r="B11" s="67"/>
      <c r="C11" s="66"/>
      <c r="D11" s="73"/>
      <c r="E11" s="23"/>
      <c r="F11" s="23"/>
      <c r="G11" s="74"/>
      <c r="H11" s="115"/>
      <c r="I11" s="115"/>
      <c r="J11" s="23"/>
      <c r="K11" s="113">
        <f t="shared" si="0"/>
        <v>0</v>
      </c>
      <c r="L11" s="115"/>
      <c r="M11" s="115"/>
      <c r="N11" s="23"/>
      <c r="O11" s="23"/>
      <c r="P11" s="23"/>
      <c r="Q11" s="115">
        <f t="shared" ref="Q11:Q12" si="5">F11+K11+M11+O11+P11</f>
        <v>0</v>
      </c>
      <c r="R11" s="21"/>
      <c r="S11" s="122">
        <f t="shared" si="2"/>
        <v>0</v>
      </c>
      <c r="T11" s="121"/>
    </row>
    <row r="12" spans="1:20" ht="13.8">
      <c r="A12" s="120"/>
      <c r="B12" s="23"/>
      <c r="C12" s="66"/>
      <c r="D12" s="73"/>
      <c r="E12" s="23"/>
      <c r="F12" s="23"/>
      <c r="G12" s="74"/>
      <c r="H12" s="115"/>
      <c r="I12" s="115"/>
      <c r="J12" s="23"/>
      <c r="K12" s="113">
        <f t="shared" si="0"/>
        <v>0</v>
      </c>
      <c r="L12" s="115"/>
      <c r="M12" s="115"/>
      <c r="N12" s="23"/>
      <c r="O12" s="23"/>
      <c r="P12" s="23"/>
      <c r="Q12" s="115">
        <f t="shared" si="5"/>
        <v>0</v>
      </c>
      <c r="R12" s="21"/>
      <c r="S12" s="122">
        <f t="shared" si="2"/>
        <v>0</v>
      </c>
      <c r="T12" s="121"/>
    </row>
    <row r="13" spans="1:20" ht="13.8">
      <c r="A13" s="120"/>
      <c r="B13" s="23"/>
      <c r="C13" s="66"/>
      <c r="D13" s="73"/>
      <c r="E13" s="23"/>
      <c r="F13" s="23"/>
      <c r="G13" s="74"/>
      <c r="H13" s="115"/>
      <c r="I13" s="115"/>
      <c r="J13" s="23"/>
      <c r="K13" s="113">
        <f t="shared" si="0"/>
        <v>0</v>
      </c>
      <c r="L13" s="115"/>
      <c r="M13" s="115"/>
      <c r="N13" s="23"/>
      <c r="O13" s="23"/>
      <c r="P13" s="23"/>
      <c r="Q13" s="115">
        <f>K13+M13+O13+P13+F13</f>
        <v>0</v>
      </c>
      <c r="R13" s="21"/>
      <c r="S13" s="122">
        <f t="shared" si="2"/>
        <v>0</v>
      </c>
      <c r="T13" s="121"/>
    </row>
    <row r="14" spans="1:20" ht="13.8">
      <c r="A14" s="123"/>
      <c r="B14" s="124"/>
      <c r="C14" s="124"/>
      <c r="D14" s="125"/>
      <c r="E14" s="124"/>
      <c r="F14" s="124"/>
      <c r="G14" s="126"/>
      <c r="H14" s="127"/>
      <c r="I14" s="127"/>
      <c r="J14" s="124"/>
      <c r="K14" s="127"/>
      <c r="L14" s="127"/>
      <c r="M14" s="124"/>
      <c r="N14" s="124"/>
      <c r="O14" s="124"/>
      <c r="P14" s="124"/>
      <c r="Q14" s="127"/>
      <c r="R14" s="127"/>
      <c r="S14" s="124"/>
      <c r="T14" s="128"/>
    </row>
    <row r="15" spans="1:20" ht="16.8">
      <c r="A15" s="129"/>
      <c r="B15" s="130" t="s">
        <v>79</v>
      </c>
      <c r="C15" s="130"/>
      <c r="D15" s="131"/>
      <c r="E15" s="132">
        <f t="shared" ref="E15:G15" si="6">SUM(E5:E14)</f>
        <v>28000000</v>
      </c>
      <c r="F15" s="132">
        <f t="shared" si="6"/>
        <v>24160000</v>
      </c>
      <c r="G15" s="133">
        <f t="shared" si="6"/>
        <v>10</v>
      </c>
      <c r="H15" s="132"/>
      <c r="I15" s="132"/>
      <c r="J15" s="132"/>
      <c r="K15" s="132">
        <f>SUM(K5:K13)</f>
        <v>3068000</v>
      </c>
      <c r="L15" s="132"/>
      <c r="M15" s="132">
        <f t="shared" ref="M15:P15" si="7">SUM(M5:M14)</f>
        <v>1000000</v>
      </c>
      <c r="N15" s="134">
        <f t="shared" si="7"/>
        <v>0</v>
      </c>
      <c r="O15" s="134">
        <f t="shared" si="7"/>
        <v>400000</v>
      </c>
      <c r="P15" s="132">
        <f t="shared" si="7"/>
        <v>900000</v>
      </c>
      <c r="Q15" s="132">
        <f>SUM(Q5:Q13)</f>
        <v>29528000</v>
      </c>
      <c r="R15" s="132">
        <f>SUM(R5:R12)</f>
        <v>0</v>
      </c>
      <c r="S15" s="134">
        <f>SUM(S5:S13)</f>
        <v>29528000</v>
      </c>
      <c r="T15" s="135"/>
    </row>
    <row r="19" spans="1:5" ht="13.8">
      <c r="A19" s="176" t="s">
        <v>39</v>
      </c>
      <c r="B19" s="177"/>
      <c r="C19" s="177"/>
      <c r="D19" s="177"/>
      <c r="E19" s="178"/>
    </row>
    <row r="20" spans="1:5" ht="13.8">
      <c r="A20" s="179"/>
      <c r="B20" s="180"/>
      <c r="C20" s="180"/>
      <c r="D20" s="180"/>
      <c r="E20" s="181"/>
    </row>
    <row r="21" spans="1:5" ht="15.75" customHeight="1">
      <c r="A21" s="182" t="s">
        <v>40</v>
      </c>
      <c r="B21" s="136" t="s">
        <v>41</v>
      </c>
      <c r="C21" s="137" t="s">
        <v>42</v>
      </c>
      <c r="D21" s="137" t="s">
        <v>43</v>
      </c>
      <c r="E21" s="138" t="s">
        <v>44</v>
      </c>
    </row>
    <row r="22" spans="1:5" ht="15.75" customHeight="1">
      <c r="A22" s="183"/>
      <c r="B22" s="139" t="s">
        <v>111</v>
      </c>
      <c r="C22" s="140">
        <f>F15</f>
        <v>24160000</v>
      </c>
      <c r="D22" s="140">
        <v>15000000</v>
      </c>
      <c r="E22" s="141">
        <f t="shared" ref="E22:E27" si="8">C22-D22</f>
        <v>9160000</v>
      </c>
    </row>
    <row r="23" spans="1:5" ht="15.75" customHeight="1">
      <c r="A23" s="183"/>
      <c r="B23" s="142" t="s">
        <v>112</v>
      </c>
      <c r="C23" s="67">
        <f>K15</f>
        <v>3068000</v>
      </c>
      <c r="D23" s="23"/>
      <c r="E23" s="143">
        <f t="shared" si="8"/>
        <v>3068000</v>
      </c>
    </row>
    <row r="24" spans="1:5" ht="15.75" customHeight="1">
      <c r="A24" s="183"/>
      <c r="B24" s="142" t="s">
        <v>113</v>
      </c>
      <c r="C24" s="67">
        <f>M15</f>
        <v>1000000</v>
      </c>
      <c r="D24" s="75"/>
      <c r="E24" s="143">
        <f t="shared" si="8"/>
        <v>1000000</v>
      </c>
    </row>
    <row r="25" spans="1:5" ht="15.75" customHeight="1">
      <c r="A25" s="183"/>
      <c r="B25" s="142" t="s">
        <v>114</v>
      </c>
      <c r="C25" s="67">
        <f>P15</f>
        <v>900000</v>
      </c>
      <c r="D25" s="23">
        <v>500000</v>
      </c>
      <c r="E25" s="143">
        <f t="shared" si="8"/>
        <v>400000</v>
      </c>
    </row>
    <row r="26" spans="1:5" ht="15.75" customHeight="1">
      <c r="A26" s="183"/>
      <c r="B26" s="142" t="s">
        <v>115</v>
      </c>
      <c r="C26" s="67">
        <f>N17</f>
        <v>0</v>
      </c>
      <c r="D26" s="67">
        <v>500000</v>
      </c>
      <c r="E26" s="143">
        <f t="shared" si="8"/>
        <v>-500000</v>
      </c>
    </row>
    <row r="27" spans="1:5" ht="15.75" customHeight="1">
      <c r="A27" s="172"/>
      <c r="B27" s="144" t="s">
        <v>52</v>
      </c>
      <c r="C27" s="145">
        <f>O15</f>
        <v>400000</v>
      </c>
      <c r="D27" s="146"/>
      <c r="E27" s="147">
        <f t="shared" si="8"/>
        <v>400000</v>
      </c>
    </row>
    <row r="28" spans="1:5" ht="15.75" customHeight="1">
      <c r="A28" s="148"/>
      <c r="B28" s="149" t="s">
        <v>57</v>
      </c>
      <c r="C28" s="150">
        <f>SUM(C22:C27)</f>
        <v>29528000</v>
      </c>
      <c r="D28" s="91"/>
      <c r="E28" s="151"/>
    </row>
    <row r="29" spans="1:5" ht="15.75" customHeight="1">
      <c r="A29" s="148"/>
      <c r="B29" s="91"/>
      <c r="C29" s="91"/>
      <c r="D29" s="184" t="s">
        <v>116</v>
      </c>
      <c r="E29" s="185">
        <f>E22+E23+E24+E25+E26+E27</f>
        <v>13528000</v>
      </c>
    </row>
    <row r="30" spans="1:5" ht="15.75" customHeight="1">
      <c r="A30" s="148"/>
      <c r="B30" s="91"/>
      <c r="C30" s="91"/>
      <c r="D30" s="172"/>
      <c r="E30" s="172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9.69921875" customWidth="1"/>
    <col min="21" max="26" width="7.59765625" customWidth="1"/>
  </cols>
  <sheetData>
    <row r="1" spans="1:20" ht="13.8">
      <c r="A1" s="189" t="s">
        <v>101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8"/>
    </row>
    <row r="2" spans="1:20" ht="13.8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1"/>
    </row>
    <row r="3" spans="1:20" ht="13.8">
      <c r="A3" s="171" t="s">
        <v>1</v>
      </c>
      <c r="B3" s="171" t="s">
        <v>2</v>
      </c>
      <c r="C3" s="171" t="s">
        <v>3</v>
      </c>
      <c r="D3" s="171" t="s">
        <v>4</v>
      </c>
      <c r="E3" s="171" t="s">
        <v>5</v>
      </c>
      <c r="F3" s="171" t="s">
        <v>6</v>
      </c>
      <c r="G3" s="171" t="s">
        <v>7</v>
      </c>
      <c r="H3" s="173" t="s">
        <v>8</v>
      </c>
      <c r="I3" s="174"/>
      <c r="J3" s="174"/>
      <c r="K3" s="175"/>
      <c r="L3" s="173" t="s">
        <v>9</v>
      </c>
      <c r="M3" s="186"/>
      <c r="N3" s="187" t="s">
        <v>10</v>
      </c>
      <c r="O3" s="171" t="s">
        <v>11</v>
      </c>
      <c r="P3" s="171" t="s">
        <v>12</v>
      </c>
      <c r="Q3" s="171" t="s">
        <v>13</v>
      </c>
      <c r="R3" s="171" t="s">
        <v>14</v>
      </c>
      <c r="S3" s="171" t="s">
        <v>15</v>
      </c>
      <c r="T3" s="171" t="s">
        <v>17</v>
      </c>
    </row>
    <row r="4" spans="1:20" ht="13.8">
      <c r="A4" s="172"/>
      <c r="B4" s="172"/>
      <c r="C4" s="172"/>
      <c r="D4" s="172"/>
      <c r="E4" s="172"/>
      <c r="F4" s="172"/>
      <c r="G4" s="172"/>
      <c r="H4" s="108" t="s">
        <v>18</v>
      </c>
      <c r="I4" s="108" t="s">
        <v>19</v>
      </c>
      <c r="J4" s="108" t="s">
        <v>70</v>
      </c>
      <c r="K4" s="109" t="s">
        <v>21</v>
      </c>
      <c r="L4" s="108" t="s">
        <v>71</v>
      </c>
      <c r="M4" s="110" t="s">
        <v>21</v>
      </c>
      <c r="N4" s="188"/>
      <c r="O4" s="172"/>
      <c r="P4" s="172"/>
      <c r="Q4" s="172"/>
      <c r="R4" s="172"/>
      <c r="S4" s="172"/>
      <c r="T4" s="172"/>
    </row>
    <row r="5" spans="1:20" ht="13.8">
      <c r="A5" s="111" t="s">
        <v>23</v>
      </c>
      <c r="B5" s="112" t="s">
        <v>119</v>
      </c>
      <c r="C5" s="113" t="s">
        <v>120</v>
      </c>
      <c r="D5" s="114" t="s">
        <v>31</v>
      </c>
      <c r="E5" s="115">
        <v>5900000</v>
      </c>
      <c r="F5" s="115">
        <v>5400000</v>
      </c>
      <c r="G5" s="116">
        <v>3</v>
      </c>
      <c r="H5" s="115">
        <v>2931</v>
      </c>
      <c r="I5" s="115">
        <v>3406</v>
      </c>
      <c r="J5" s="115">
        <v>4000</v>
      </c>
      <c r="K5" s="115">
        <f t="shared" ref="K5:K13" si="0">(I5-H5)*J5</f>
        <v>1900000</v>
      </c>
      <c r="L5" s="115">
        <v>100000</v>
      </c>
      <c r="M5" s="115">
        <f t="shared" ref="M5:M10" si="1">L5*G5</f>
        <v>300000</v>
      </c>
      <c r="N5" s="115"/>
      <c r="O5" s="115">
        <v>100000</v>
      </c>
      <c r="P5" s="115">
        <v>250000</v>
      </c>
      <c r="Q5" s="115">
        <f>F5+K5+M5+O5+P5</f>
        <v>7950000</v>
      </c>
      <c r="R5" s="117"/>
      <c r="S5" s="118">
        <f t="shared" ref="S5:S13" si="2">Q5-R5</f>
        <v>7950000</v>
      </c>
      <c r="T5" s="119" t="s">
        <v>122</v>
      </c>
    </row>
    <row r="6" spans="1:20" ht="13.8">
      <c r="A6" s="120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115">
        <v>639</v>
      </c>
      <c r="I6" s="115">
        <v>737</v>
      </c>
      <c r="J6" s="21">
        <v>4000</v>
      </c>
      <c r="K6" s="113">
        <f t="shared" si="0"/>
        <v>392000</v>
      </c>
      <c r="L6" s="115">
        <v>100000</v>
      </c>
      <c r="M6" s="115">
        <f t="shared" si="1"/>
        <v>300000</v>
      </c>
      <c r="N6" s="23"/>
      <c r="O6" s="21">
        <v>200000</v>
      </c>
      <c r="P6" s="21">
        <v>250000</v>
      </c>
      <c r="Q6" s="115">
        <f t="shared" ref="Q6:Q7" si="3">F6+K6+M6+P6+O6</f>
        <v>6242000</v>
      </c>
      <c r="R6" s="21"/>
      <c r="S6" s="118">
        <f t="shared" si="2"/>
        <v>6242000</v>
      </c>
      <c r="T6" s="121"/>
    </row>
    <row r="7" spans="1:20" ht="13.8">
      <c r="A7" s="120">
        <v>102</v>
      </c>
      <c r="B7" s="67" t="s">
        <v>30</v>
      </c>
      <c r="C7" s="113" t="s">
        <v>75</v>
      </c>
      <c r="D7" s="73" t="s">
        <v>31</v>
      </c>
      <c r="E7" s="23">
        <v>5500000</v>
      </c>
      <c r="F7" s="23">
        <v>5000000</v>
      </c>
      <c r="G7" s="74">
        <v>2</v>
      </c>
      <c r="H7" s="115">
        <v>1209</v>
      </c>
      <c r="I7" s="115">
        <v>1640</v>
      </c>
      <c r="J7" s="23">
        <v>4000</v>
      </c>
      <c r="K7" s="113">
        <f t="shared" si="0"/>
        <v>1724000</v>
      </c>
      <c r="L7" s="115">
        <v>100000</v>
      </c>
      <c r="M7" s="115">
        <f t="shared" si="1"/>
        <v>200000</v>
      </c>
      <c r="N7" s="23"/>
      <c r="O7" s="23"/>
      <c r="P7" s="23">
        <v>200000</v>
      </c>
      <c r="Q7" s="115">
        <f t="shared" si="3"/>
        <v>7124000</v>
      </c>
      <c r="R7" s="21"/>
      <c r="S7" s="118">
        <f t="shared" si="2"/>
        <v>7124000</v>
      </c>
      <c r="T7" s="121" t="s">
        <v>121</v>
      </c>
    </row>
    <row r="8" spans="1:20" ht="13.8">
      <c r="A8" s="120">
        <v>201</v>
      </c>
      <c r="B8" s="67" t="s">
        <v>33</v>
      </c>
      <c r="C8" s="66" t="s">
        <v>77</v>
      </c>
      <c r="D8" s="73" t="s">
        <v>34</v>
      </c>
      <c r="E8" s="23">
        <v>5900000</v>
      </c>
      <c r="F8" s="23">
        <v>5400000</v>
      </c>
      <c r="G8" s="74">
        <v>2</v>
      </c>
      <c r="H8" s="115">
        <v>666</v>
      </c>
      <c r="I8" s="115">
        <v>721</v>
      </c>
      <c r="J8" s="23">
        <v>4000</v>
      </c>
      <c r="K8" s="113">
        <f t="shared" si="0"/>
        <v>220000</v>
      </c>
      <c r="L8" s="115">
        <v>100000</v>
      </c>
      <c r="M8" s="115">
        <f t="shared" si="1"/>
        <v>200000</v>
      </c>
      <c r="N8" s="23"/>
      <c r="O8" s="23"/>
      <c r="P8" s="23">
        <v>200000</v>
      </c>
      <c r="Q8" s="115">
        <f>F8+K8+M8+O8+P8</f>
        <v>6020000</v>
      </c>
      <c r="R8" s="21"/>
      <c r="S8" s="118">
        <f t="shared" si="2"/>
        <v>6020000</v>
      </c>
      <c r="T8" s="121" t="s">
        <v>121</v>
      </c>
    </row>
    <row r="9" spans="1:20" ht="13.8">
      <c r="A9" s="120">
        <v>202</v>
      </c>
      <c r="B9" s="67" t="s">
        <v>92</v>
      </c>
      <c r="C9" s="66" t="s">
        <v>93</v>
      </c>
      <c r="D9" s="73" t="s">
        <v>94</v>
      </c>
      <c r="E9" s="23">
        <v>5100000</v>
      </c>
      <c r="F9" s="23">
        <v>4600000</v>
      </c>
      <c r="G9" s="74">
        <v>2</v>
      </c>
      <c r="H9" s="115">
        <v>474</v>
      </c>
      <c r="I9" s="115">
        <v>644</v>
      </c>
      <c r="J9" s="23">
        <v>4000</v>
      </c>
      <c r="K9" s="113">
        <f t="shared" si="0"/>
        <v>680000</v>
      </c>
      <c r="L9" s="115">
        <v>100000</v>
      </c>
      <c r="M9" s="115">
        <f t="shared" si="1"/>
        <v>200000</v>
      </c>
      <c r="N9" s="23"/>
      <c r="O9" s="23">
        <v>200000</v>
      </c>
      <c r="P9" s="23">
        <v>200000</v>
      </c>
      <c r="Q9" s="115">
        <f t="shared" ref="Q9:Q10" si="4">F9+K9+M9+P9+O9</f>
        <v>5880000</v>
      </c>
      <c r="R9" s="21"/>
      <c r="S9" s="118">
        <f t="shared" si="2"/>
        <v>5880000</v>
      </c>
      <c r="T9" s="121"/>
    </row>
    <row r="10" spans="1:20" ht="13.8">
      <c r="A10" s="120"/>
      <c r="B10" s="67"/>
      <c r="C10" s="66"/>
      <c r="D10" s="73"/>
      <c r="E10" s="23"/>
      <c r="F10" s="23"/>
      <c r="G10" s="74"/>
      <c r="H10" s="115"/>
      <c r="I10" s="115"/>
      <c r="J10" s="23"/>
      <c r="K10" s="113">
        <f t="shared" si="0"/>
        <v>0</v>
      </c>
      <c r="L10" s="115"/>
      <c r="M10" s="115">
        <f t="shared" si="1"/>
        <v>0</v>
      </c>
      <c r="N10" s="23"/>
      <c r="O10" s="23"/>
      <c r="P10" s="23"/>
      <c r="Q10" s="115">
        <f t="shared" si="4"/>
        <v>0</v>
      </c>
      <c r="R10" s="21"/>
      <c r="S10" s="122">
        <f t="shared" si="2"/>
        <v>0</v>
      </c>
      <c r="T10" s="121"/>
    </row>
    <row r="11" spans="1:20" ht="13.8">
      <c r="A11" s="120"/>
      <c r="B11" s="67"/>
      <c r="C11" s="66"/>
      <c r="D11" s="73"/>
      <c r="E11" s="23"/>
      <c r="F11" s="23"/>
      <c r="G11" s="74"/>
      <c r="H11" s="115"/>
      <c r="I11" s="115"/>
      <c r="J11" s="23"/>
      <c r="K11" s="113">
        <f t="shared" si="0"/>
        <v>0</v>
      </c>
      <c r="L11" s="115"/>
      <c r="M11" s="115"/>
      <c r="N11" s="23"/>
      <c r="O11" s="23"/>
      <c r="P11" s="23"/>
      <c r="Q11" s="115">
        <f t="shared" ref="Q11:Q12" si="5">F11+K11+M11+O11+P11</f>
        <v>0</v>
      </c>
      <c r="R11" s="21"/>
      <c r="S11" s="122">
        <f t="shared" si="2"/>
        <v>0</v>
      </c>
      <c r="T11" s="121"/>
    </row>
    <row r="12" spans="1:20" ht="13.8">
      <c r="A12" s="120"/>
      <c r="B12" s="23"/>
      <c r="C12" s="66"/>
      <c r="D12" s="73"/>
      <c r="E12" s="23"/>
      <c r="F12" s="23"/>
      <c r="G12" s="74"/>
      <c r="H12" s="115"/>
      <c r="I12" s="115"/>
      <c r="J12" s="23"/>
      <c r="K12" s="113">
        <f t="shared" si="0"/>
        <v>0</v>
      </c>
      <c r="L12" s="115"/>
      <c r="M12" s="115"/>
      <c r="N12" s="23"/>
      <c r="O12" s="23"/>
      <c r="P12" s="23"/>
      <c r="Q12" s="115">
        <f t="shared" si="5"/>
        <v>0</v>
      </c>
      <c r="R12" s="21"/>
      <c r="S12" s="122">
        <f t="shared" si="2"/>
        <v>0</v>
      </c>
      <c r="T12" s="121"/>
    </row>
    <row r="13" spans="1:20" ht="13.8">
      <c r="A13" s="120"/>
      <c r="B13" s="23"/>
      <c r="C13" s="66"/>
      <c r="D13" s="73"/>
      <c r="E13" s="23"/>
      <c r="F13" s="23"/>
      <c r="G13" s="74"/>
      <c r="H13" s="115"/>
      <c r="I13" s="115"/>
      <c r="J13" s="23"/>
      <c r="K13" s="113">
        <f t="shared" si="0"/>
        <v>0</v>
      </c>
      <c r="L13" s="115"/>
      <c r="M13" s="115"/>
      <c r="N13" s="23"/>
      <c r="O13" s="23"/>
      <c r="P13" s="23"/>
      <c r="Q13" s="115">
        <f>K13+M13+O13+P13+F13</f>
        <v>0</v>
      </c>
      <c r="R13" s="21"/>
      <c r="S13" s="122">
        <f t="shared" si="2"/>
        <v>0</v>
      </c>
      <c r="T13" s="121"/>
    </row>
    <row r="14" spans="1:20" ht="13.8">
      <c r="A14" s="123"/>
      <c r="B14" s="124"/>
      <c r="C14" s="124"/>
      <c r="D14" s="125"/>
      <c r="E14" s="124"/>
      <c r="F14" s="124"/>
      <c r="G14" s="126"/>
      <c r="H14" s="127"/>
      <c r="I14" s="127"/>
      <c r="J14" s="124"/>
      <c r="K14" s="127"/>
      <c r="L14" s="127"/>
      <c r="M14" s="124"/>
      <c r="N14" s="124"/>
      <c r="O14" s="124"/>
      <c r="P14" s="124"/>
      <c r="Q14" s="127"/>
      <c r="R14" s="127"/>
      <c r="S14" s="124"/>
      <c r="T14" s="128"/>
    </row>
    <row r="15" spans="1:20" ht="16.8">
      <c r="A15" s="129"/>
      <c r="B15" s="130" t="s">
        <v>79</v>
      </c>
      <c r="C15" s="130"/>
      <c r="D15" s="131"/>
      <c r="E15" s="132">
        <f t="shared" ref="E15:G15" si="6">SUM(E5:E14)</f>
        <v>28000000</v>
      </c>
      <c r="F15" s="132">
        <f t="shared" si="6"/>
        <v>25500000</v>
      </c>
      <c r="G15" s="133">
        <f t="shared" si="6"/>
        <v>12</v>
      </c>
      <c r="H15" s="132"/>
      <c r="I15" s="132"/>
      <c r="J15" s="132"/>
      <c r="K15" s="132">
        <f>SUM(K5:K13)</f>
        <v>4916000</v>
      </c>
      <c r="L15" s="132"/>
      <c r="M15" s="132">
        <f t="shared" ref="M15:P15" si="7">SUM(M5:M14)</f>
        <v>1200000</v>
      </c>
      <c r="N15" s="134">
        <f t="shared" si="7"/>
        <v>0</v>
      </c>
      <c r="O15" s="134">
        <f t="shared" si="7"/>
        <v>500000</v>
      </c>
      <c r="P15" s="132">
        <f t="shared" si="7"/>
        <v>1100000</v>
      </c>
      <c r="Q15" s="132">
        <f>SUM(Q5:Q13)</f>
        <v>33216000</v>
      </c>
      <c r="R15" s="132">
        <f>SUM(R5:R12)</f>
        <v>0</v>
      </c>
      <c r="S15" s="134">
        <f>SUM(S5:S13)</f>
        <v>33216000</v>
      </c>
      <c r="T15" s="135"/>
    </row>
    <row r="19" spans="1:5" ht="13.8">
      <c r="A19" s="176" t="s">
        <v>39</v>
      </c>
      <c r="B19" s="177"/>
      <c r="C19" s="177"/>
      <c r="D19" s="177"/>
      <c r="E19" s="178"/>
    </row>
    <row r="20" spans="1:5" ht="13.8">
      <c r="A20" s="179"/>
      <c r="B20" s="180"/>
      <c r="C20" s="180"/>
      <c r="D20" s="180"/>
      <c r="E20" s="181"/>
    </row>
    <row r="21" spans="1:5" ht="15.75" customHeight="1">
      <c r="A21" s="182" t="s">
        <v>40</v>
      </c>
      <c r="B21" s="136" t="s">
        <v>41</v>
      </c>
      <c r="C21" s="137" t="s">
        <v>42</v>
      </c>
      <c r="D21" s="137" t="s">
        <v>43</v>
      </c>
      <c r="E21" s="138" t="s">
        <v>44</v>
      </c>
    </row>
    <row r="22" spans="1:5" ht="15.75" customHeight="1">
      <c r="A22" s="183"/>
      <c r="B22" s="139" t="s">
        <v>111</v>
      </c>
      <c r="C22" s="140">
        <f>F15</f>
        <v>25500000</v>
      </c>
      <c r="D22" s="140">
        <v>15000000</v>
      </c>
      <c r="E22" s="141">
        <f t="shared" ref="E22:E27" si="8">C22-D22</f>
        <v>10500000</v>
      </c>
    </row>
    <row r="23" spans="1:5" ht="15.75" customHeight="1">
      <c r="A23" s="183"/>
      <c r="B23" s="142" t="s">
        <v>112</v>
      </c>
      <c r="C23" s="67">
        <f>K15</f>
        <v>4916000</v>
      </c>
      <c r="D23" s="23"/>
      <c r="E23" s="143">
        <f t="shared" si="8"/>
        <v>4916000</v>
      </c>
    </row>
    <row r="24" spans="1:5" ht="15.75" customHeight="1">
      <c r="A24" s="183"/>
      <c r="B24" s="142" t="s">
        <v>113</v>
      </c>
      <c r="C24" s="67">
        <f>M15</f>
        <v>1200000</v>
      </c>
      <c r="D24" s="75"/>
      <c r="E24" s="143">
        <f t="shared" si="8"/>
        <v>1200000</v>
      </c>
    </row>
    <row r="25" spans="1:5" ht="15.75" customHeight="1">
      <c r="A25" s="183"/>
      <c r="B25" s="142" t="s">
        <v>114</v>
      </c>
      <c r="C25" s="67">
        <f>P15</f>
        <v>1100000</v>
      </c>
      <c r="D25" s="23">
        <v>500000</v>
      </c>
      <c r="E25" s="143">
        <f t="shared" si="8"/>
        <v>600000</v>
      </c>
    </row>
    <row r="26" spans="1:5" ht="15.75" customHeight="1">
      <c r="A26" s="183"/>
      <c r="B26" s="142" t="s">
        <v>115</v>
      </c>
      <c r="C26" s="67">
        <f>N17</f>
        <v>0</v>
      </c>
      <c r="D26" s="67">
        <v>500000</v>
      </c>
      <c r="E26" s="143">
        <f t="shared" si="8"/>
        <v>-500000</v>
      </c>
    </row>
    <row r="27" spans="1:5" ht="15.75" customHeight="1">
      <c r="A27" s="172"/>
      <c r="B27" s="144" t="s">
        <v>52</v>
      </c>
      <c r="C27" s="145">
        <f>O15</f>
        <v>500000</v>
      </c>
      <c r="D27" s="146"/>
      <c r="E27" s="147">
        <f t="shared" si="8"/>
        <v>500000</v>
      </c>
    </row>
    <row r="28" spans="1:5" ht="15.75" customHeight="1">
      <c r="A28" s="148"/>
      <c r="B28" s="149" t="s">
        <v>57</v>
      </c>
      <c r="C28" s="150">
        <f>SUM(C22:C27)</f>
        <v>33216000</v>
      </c>
      <c r="D28" s="91"/>
      <c r="E28" s="151"/>
    </row>
    <row r="29" spans="1:5" ht="15.75" customHeight="1">
      <c r="A29" s="148"/>
      <c r="B29" s="91"/>
      <c r="C29" s="91"/>
      <c r="D29" s="184" t="s">
        <v>116</v>
      </c>
      <c r="E29" s="185">
        <f>E22+E23+E24+E25+E26+E27</f>
        <v>17216000</v>
      </c>
    </row>
    <row r="30" spans="1:5" ht="15.75" customHeight="1">
      <c r="A30" s="148"/>
      <c r="B30" s="91"/>
      <c r="C30" s="91"/>
      <c r="D30" s="172"/>
      <c r="E30" s="172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9.69921875" customWidth="1"/>
    <col min="21" max="26" width="7.59765625" customWidth="1"/>
  </cols>
  <sheetData>
    <row r="1" spans="1:20" ht="13.8">
      <c r="A1" s="189" t="s">
        <v>101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8"/>
    </row>
    <row r="2" spans="1:20" ht="13.8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1"/>
    </row>
    <row r="3" spans="1:20" ht="13.8">
      <c r="A3" s="171" t="s">
        <v>1</v>
      </c>
      <c r="B3" s="171" t="s">
        <v>2</v>
      </c>
      <c r="C3" s="171" t="s">
        <v>3</v>
      </c>
      <c r="D3" s="171" t="s">
        <v>4</v>
      </c>
      <c r="E3" s="171" t="s">
        <v>5</v>
      </c>
      <c r="F3" s="171" t="s">
        <v>6</v>
      </c>
      <c r="G3" s="171" t="s">
        <v>7</v>
      </c>
      <c r="H3" s="173" t="s">
        <v>8</v>
      </c>
      <c r="I3" s="174"/>
      <c r="J3" s="174"/>
      <c r="K3" s="175"/>
      <c r="L3" s="173" t="s">
        <v>9</v>
      </c>
      <c r="M3" s="186"/>
      <c r="N3" s="187" t="s">
        <v>10</v>
      </c>
      <c r="O3" s="171" t="s">
        <v>11</v>
      </c>
      <c r="P3" s="171" t="s">
        <v>12</v>
      </c>
      <c r="Q3" s="171" t="s">
        <v>13</v>
      </c>
      <c r="R3" s="171" t="s">
        <v>14</v>
      </c>
      <c r="S3" s="171" t="s">
        <v>15</v>
      </c>
      <c r="T3" s="171" t="s">
        <v>17</v>
      </c>
    </row>
    <row r="4" spans="1:20" ht="13.8">
      <c r="A4" s="172"/>
      <c r="B4" s="172"/>
      <c r="C4" s="172"/>
      <c r="D4" s="172"/>
      <c r="E4" s="172"/>
      <c r="F4" s="172"/>
      <c r="G4" s="172"/>
      <c r="H4" s="108" t="s">
        <v>18</v>
      </c>
      <c r="I4" s="108" t="s">
        <v>19</v>
      </c>
      <c r="J4" s="108" t="s">
        <v>70</v>
      </c>
      <c r="K4" s="109" t="s">
        <v>21</v>
      </c>
      <c r="L4" s="108" t="s">
        <v>71</v>
      </c>
      <c r="M4" s="110" t="s">
        <v>21</v>
      </c>
      <c r="N4" s="188"/>
      <c r="O4" s="172"/>
      <c r="P4" s="172"/>
      <c r="Q4" s="172"/>
      <c r="R4" s="172"/>
      <c r="S4" s="172"/>
      <c r="T4" s="172"/>
    </row>
    <row r="5" spans="1:20" ht="13.8">
      <c r="A5" s="111" t="s">
        <v>23</v>
      </c>
      <c r="B5" s="112" t="s">
        <v>119</v>
      </c>
      <c r="C5" s="113" t="s">
        <v>120</v>
      </c>
      <c r="D5" s="114" t="s">
        <v>31</v>
      </c>
      <c r="E5" s="115">
        <v>5900000</v>
      </c>
      <c r="F5" s="115">
        <v>5400000</v>
      </c>
      <c r="G5" s="116">
        <v>1</v>
      </c>
      <c r="H5" s="115">
        <v>3406</v>
      </c>
      <c r="I5" s="115">
        <v>3798</v>
      </c>
      <c r="J5" s="115">
        <v>4000</v>
      </c>
      <c r="K5" s="115">
        <f t="shared" ref="K5:K13" si="0">(I5-H5)*J5</f>
        <v>1568000</v>
      </c>
      <c r="L5" s="115">
        <v>100000</v>
      </c>
      <c r="M5" s="115">
        <f t="shared" ref="M5:M10" si="1">L5*G5</f>
        <v>100000</v>
      </c>
      <c r="N5" s="115"/>
      <c r="O5" s="115"/>
      <c r="P5" s="115">
        <v>200000</v>
      </c>
      <c r="Q5" s="115">
        <f>F5+K5+M5+O5+P5</f>
        <v>7268000</v>
      </c>
      <c r="R5" s="117"/>
      <c r="S5" s="118">
        <f t="shared" ref="S5:S13" si="2">Q5-R5</f>
        <v>7268000</v>
      </c>
      <c r="T5" s="119"/>
    </row>
    <row r="6" spans="1:20" ht="13.8">
      <c r="A6" s="120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115">
        <v>737</v>
      </c>
      <c r="I6" s="115">
        <v>854</v>
      </c>
      <c r="J6" s="21">
        <v>4000</v>
      </c>
      <c r="K6" s="113">
        <f t="shared" si="0"/>
        <v>468000</v>
      </c>
      <c r="L6" s="115">
        <v>100000</v>
      </c>
      <c r="M6" s="115">
        <f t="shared" si="1"/>
        <v>300000</v>
      </c>
      <c r="N6" s="23"/>
      <c r="O6" s="21">
        <v>200000</v>
      </c>
      <c r="P6" s="21">
        <v>250000</v>
      </c>
      <c r="Q6" s="115">
        <f t="shared" ref="Q6:Q7" si="3">F6+K6+M6+P6+O6</f>
        <v>6318000</v>
      </c>
      <c r="R6" s="21"/>
      <c r="S6" s="118">
        <f t="shared" si="2"/>
        <v>6318000</v>
      </c>
      <c r="T6" s="121"/>
    </row>
    <row r="7" spans="1:20" ht="13.8">
      <c r="A7" s="120">
        <v>102</v>
      </c>
      <c r="B7" s="67" t="s">
        <v>30</v>
      </c>
      <c r="C7" s="113" t="s">
        <v>75</v>
      </c>
      <c r="D7" s="73" t="s">
        <v>31</v>
      </c>
      <c r="E7" s="23">
        <v>5500000</v>
      </c>
      <c r="F7" s="23">
        <v>5000000</v>
      </c>
      <c r="G7" s="74">
        <v>2</v>
      </c>
      <c r="H7" s="115">
        <v>1640</v>
      </c>
      <c r="I7" s="115">
        <v>2129</v>
      </c>
      <c r="J7" s="23">
        <v>4000</v>
      </c>
      <c r="K7" s="113">
        <f t="shared" si="0"/>
        <v>1956000</v>
      </c>
      <c r="L7" s="115">
        <v>100000</v>
      </c>
      <c r="M7" s="115">
        <f t="shared" si="1"/>
        <v>200000</v>
      </c>
      <c r="N7" s="23"/>
      <c r="O7" s="23"/>
      <c r="P7" s="23">
        <v>200000</v>
      </c>
      <c r="Q7" s="115">
        <f t="shared" si="3"/>
        <v>7356000</v>
      </c>
      <c r="R7" s="21"/>
      <c r="S7" s="118">
        <f t="shared" si="2"/>
        <v>7356000</v>
      </c>
      <c r="T7" s="121" t="s">
        <v>121</v>
      </c>
    </row>
    <row r="8" spans="1:20" ht="13.8">
      <c r="A8" s="120">
        <v>201</v>
      </c>
      <c r="B8" s="67" t="s">
        <v>33</v>
      </c>
      <c r="C8" s="66" t="s">
        <v>77</v>
      </c>
      <c r="D8" s="73" t="s">
        <v>34</v>
      </c>
      <c r="E8" s="23">
        <v>5900000</v>
      </c>
      <c r="F8" s="23">
        <v>5400000</v>
      </c>
      <c r="G8" s="74">
        <v>2</v>
      </c>
      <c r="H8" s="115">
        <v>721</v>
      </c>
      <c r="I8" s="115">
        <v>827</v>
      </c>
      <c r="J8" s="23">
        <v>4000</v>
      </c>
      <c r="K8" s="113">
        <f t="shared" si="0"/>
        <v>424000</v>
      </c>
      <c r="L8" s="115">
        <v>100000</v>
      </c>
      <c r="M8" s="115">
        <f t="shared" si="1"/>
        <v>200000</v>
      </c>
      <c r="N8" s="23"/>
      <c r="O8" s="23"/>
      <c r="P8" s="23">
        <v>200000</v>
      </c>
      <c r="Q8" s="115">
        <f>F8+K8+M8+O8+P8</f>
        <v>6224000</v>
      </c>
      <c r="R8" s="21"/>
      <c r="S8" s="118">
        <f t="shared" si="2"/>
        <v>6224000</v>
      </c>
      <c r="T8" s="121" t="s">
        <v>121</v>
      </c>
    </row>
    <row r="9" spans="1:20" ht="13.8">
      <c r="A9" s="120">
        <v>202</v>
      </c>
      <c r="B9" s="67" t="s">
        <v>92</v>
      </c>
      <c r="C9" s="66" t="s">
        <v>93</v>
      </c>
      <c r="D9" s="73" t="s">
        <v>94</v>
      </c>
      <c r="E9" s="23">
        <v>5100000</v>
      </c>
      <c r="F9" s="23">
        <v>4600000</v>
      </c>
      <c r="G9" s="74">
        <v>2</v>
      </c>
      <c r="H9" s="115">
        <v>644</v>
      </c>
      <c r="I9" s="115">
        <v>830</v>
      </c>
      <c r="J9" s="23">
        <v>4000</v>
      </c>
      <c r="K9" s="113">
        <f t="shared" si="0"/>
        <v>744000</v>
      </c>
      <c r="L9" s="115">
        <v>100000</v>
      </c>
      <c r="M9" s="115">
        <f t="shared" si="1"/>
        <v>200000</v>
      </c>
      <c r="N9" s="23"/>
      <c r="O9" s="23">
        <v>200000</v>
      </c>
      <c r="P9" s="23">
        <v>200000</v>
      </c>
      <c r="Q9" s="115">
        <f t="shared" ref="Q9:Q10" si="4">F9+K9+M9+P9+O9</f>
        <v>5944000</v>
      </c>
      <c r="R9" s="21"/>
      <c r="S9" s="118">
        <f t="shared" si="2"/>
        <v>5944000</v>
      </c>
      <c r="T9" s="121"/>
    </row>
    <row r="10" spans="1:20" ht="13.8">
      <c r="A10" s="120"/>
      <c r="B10" s="67"/>
      <c r="C10" s="66"/>
      <c r="D10" s="73"/>
      <c r="E10" s="23"/>
      <c r="F10" s="23"/>
      <c r="G10" s="74"/>
      <c r="H10" s="115"/>
      <c r="I10" s="115"/>
      <c r="J10" s="23"/>
      <c r="K10" s="113">
        <f t="shared" si="0"/>
        <v>0</v>
      </c>
      <c r="L10" s="115"/>
      <c r="M10" s="115">
        <f t="shared" si="1"/>
        <v>0</v>
      </c>
      <c r="N10" s="23"/>
      <c r="O10" s="23"/>
      <c r="P10" s="23"/>
      <c r="Q10" s="115">
        <f t="shared" si="4"/>
        <v>0</v>
      </c>
      <c r="R10" s="21"/>
      <c r="S10" s="122">
        <f t="shared" si="2"/>
        <v>0</v>
      </c>
      <c r="T10" s="121"/>
    </row>
    <row r="11" spans="1:20" ht="13.8">
      <c r="A11" s="120"/>
      <c r="B11" s="67"/>
      <c r="C11" s="66"/>
      <c r="D11" s="73"/>
      <c r="E11" s="23"/>
      <c r="F11" s="23"/>
      <c r="G11" s="74"/>
      <c r="H11" s="115"/>
      <c r="I11" s="115"/>
      <c r="J11" s="23"/>
      <c r="K11" s="113">
        <f t="shared" si="0"/>
        <v>0</v>
      </c>
      <c r="L11" s="115"/>
      <c r="M11" s="115"/>
      <c r="N11" s="23"/>
      <c r="O11" s="23"/>
      <c r="P11" s="23"/>
      <c r="Q11" s="115">
        <f t="shared" ref="Q11:Q12" si="5">F11+K11+M11+O11+P11</f>
        <v>0</v>
      </c>
      <c r="R11" s="21"/>
      <c r="S11" s="122">
        <f t="shared" si="2"/>
        <v>0</v>
      </c>
      <c r="T11" s="121"/>
    </row>
    <row r="12" spans="1:20" ht="13.8">
      <c r="A12" s="120"/>
      <c r="B12" s="23"/>
      <c r="C12" s="66"/>
      <c r="D12" s="73"/>
      <c r="E12" s="23"/>
      <c r="F12" s="23"/>
      <c r="G12" s="74"/>
      <c r="H12" s="115"/>
      <c r="I12" s="115"/>
      <c r="J12" s="23"/>
      <c r="K12" s="113">
        <f t="shared" si="0"/>
        <v>0</v>
      </c>
      <c r="L12" s="115"/>
      <c r="M12" s="115"/>
      <c r="N12" s="23"/>
      <c r="O12" s="23"/>
      <c r="P12" s="23"/>
      <c r="Q12" s="115">
        <f t="shared" si="5"/>
        <v>0</v>
      </c>
      <c r="R12" s="21"/>
      <c r="S12" s="122">
        <f t="shared" si="2"/>
        <v>0</v>
      </c>
      <c r="T12" s="121"/>
    </row>
    <row r="13" spans="1:20" ht="13.8">
      <c r="A13" s="120"/>
      <c r="B13" s="23"/>
      <c r="C13" s="66"/>
      <c r="D13" s="73"/>
      <c r="E13" s="23"/>
      <c r="F13" s="23"/>
      <c r="G13" s="74"/>
      <c r="H13" s="115"/>
      <c r="I13" s="115"/>
      <c r="J13" s="23"/>
      <c r="K13" s="113">
        <f t="shared" si="0"/>
        <v>0</v>
      </c>
      <c r="L13" s="115"/>
      <c r="M13" s="115"/>
      <c r="N13" s="23"/>
      <c r="O13" s="23"/>
      <c r="P13" s="23"/>
      <c r="Q13" s="115">
        <f>K13+M13+O13+P13+F13</f>
        <v>0</v>
      </c>
      <c r="R13" s="21"/>
      <c r="S13" s="122">
        <f t="shared" si="2"/>
        <v>0</v>
      </c>
      <c r="T13" s="121"/>
    </row>
    <row r="14" spans="1:20" ht="13.8">
      <c r="A14" s="123"/>
      <c r="B14" s="124"/>
      <c r="C14" s="124"/>
      <c r="D14" s="125"/>
      <c r="E14" s="124"/>
      <c r="F14" s="124"/>
      <c r="G14" s="126"/>
      <c r="H14" s="127"/>
      <c r="I14" s="127"/>
      <c r="J14" s="124"/>
      <c r="K14" s="127"/>
      <c r="L14" s="127"/>
      <c r="M14" s="124"/>
      <c r="N14" s="124"/>
      <c r="O14" s="124"/>
      <c r="P14" s="124"/>
      <c r="Q14" s="127"/>
      <c r="R14" s="127"/>
      <c r="S14" s="124"/>
      <c r="T14" s="128"/>
    </row>
    <row r="15" spans="1:20" ht="16.8">
      <c r="A15" s="129"/>
      <c r="B15" s="130" t="s">
        <v>79</v>
      </c>
      <c r="C15" s="130"/>
      <c r="D15" s="131"/>
      <c r="E15" s="132">
        <f t="shared" ref="E15:G15" si="6">SUM(E5:E14)</f>
        <v>28000000</v>
      </c>
      <c r="F15" s="132">
        <f t="shared" si="6"/>
        <v>25500000</v>
      </c>
      <c r="G15" s="133">
        <f t="shared" si="6"/>
        <v>10</v>
      </c>
      <c r="H15" s="132"/>
      <c r="I15" s="132"/>
      <c r="J15" s="132"/>
      <c r="K15" s="132">
        <f>SUM(K5:K13)</f>
        <v>5160000</v>
      </c>
      <c r="L15" s="132"/>
      <c r="M15" s="132">
        <f t="shared" ref="M15:P15" si="7">SUM(M5:M14)</f>
        <v>1000000</v>
      </c>
      <c r="N15" s="134">
        <f t="shared" si="7"/>
        <v>0</v>
      </c>
      <c r="O15" s="134">
        <f t="shared" si="7"/>
        <v>400000</v>
      </c>
      <c r="P15" s="132">
        <f t="shared" si="7"/>
        <v>1050000</v>
      </c>
      <c r="Q15" s="132">
        <f>SUM(Q5:Q13)</f>
        <v>33110000</v>
      </c>
      <c r="R15" s="132">
        <f>SUM(R5:R12)</f>
        <v>0</v>
      </c>
      <c r="S15" s="134">
        <f>SUM(S5:S13)</f>
        <v>33110000</v>
      </c>
      <c r="T15" s="135"/>
    </row>
    <row r="19" spans="1:5" ht="13.8">
      <c r="A19" s="176" t="s">
        <v>39</v>
      </c>
      <c r="B19" s="177"/>
      <c r="C19" s="177"/>
      <c r="D19" s="177"/>
      <c r="E19" s="178"/>
    </row>
    <row r="20" spans="1:5" ht="13.8">
      <c r="A20" s="179"/>
      <c r="B20" s="180"/>
      <c r="C20" s="180"/>
      <c r="D20" s="180"/>
      <c r="E20" s="181"/>
    </row>
    <row r="21" spans="1:5" ht="15.75" customHeight="1">
      <c r="A21" s="182" t="s">
        <v>40</v>
      </c>
      <c r="B21" s="136" t="s">
        <v>41</v>
      </c>
      <c r="C21" s="137" t="s">
        <v>42</v>
      </c>
      <c r="D21" s="137" t="s">
        <v>43</v>
      </c>
      <c r="E21" s="138" t="s">
        <v>44</v>
      </c>
    </row>
    <row r="22" spans="1:5" ht="15.75" customHeight="1">
      <c r="A22" s="183"/>
      <c r="B22" s="139" t="s">
        <v>111</v>
      </c>
      <c r="C22" s="140">
        <f>F15</f>
        <v>25500000</v>
      </c>
      <c r="D22" s="140">
        <v>15000000</v>
      </c>
      <c r="E22" s="141">
        <f t="shared" ref="E22:E27" si="8">C22-D22</f>
        <v>10500000</v>
      </c>
    </row>
    <row r="23" spans="1:5" ht="15.75" customHeight="1">
      <c r="A23" s="183"/>
      <c r="B23" s="142" t="s">
        <v>112</v>
      </c>
      <c r="C23" s="67">
        <f>K15</f>
        <v>5160000</v>
      </c>
      <c r="D23" s="23"/>
      <c r="E23" s="143">
        <f t="shared" si="8"/>
        <v>5160000</v>
      </c>
    </row>
    <row r="24" spans="1:5" ht="15.75" customHeight="1">
      <c r="A24" s="183"/>
      <c r="B24" s="142" t="s">
        <v>113</v>
      </c>
      <c r="C24" s="67">
        <f>M15</f>
        <v>1000000</v>
      </c>
      <c r="D24" s="75"/>
      <c r="E24" s="143">
        <f t="shared" si="8"/>
        <v>1000000</v>
      </c>
    </row>
    <row r="25" spans="1:5" ht="15.75" customHeight="1">
      <c r="A25" s="183"/>
      <c r="B25" s="142" t="s">
        <v>114</v>
      </c>
      <c r="C25" s="67">
        <f>P15</f>
        <v>1050000</v>
      </c>
      <c r="D25" s="23">
        <v>500000</v>
      </c>
      <c r="E25" s="143">
        <f t="shared" si="8"/>
        <v>550000</v>
      </c>
    </row>
    <row r="26" spans="1:5" ht="15.75" customHeight="1">
      <c r="A26" s="183"/>
      <c r="B26" s="142" t="s">
        <v>115</v>
      </c>
      <c r="C26" s="67">
        <f>N17</f>
        <v>0</v>
      </c>
      <c r="D26" s="67">
        <v>500000</v>
      </c>
      <c r="E26" s="143">
        <f t="shared" si="8"/>
        <v>-500000</v>
      </c>
    </row>
    <row r="27" spans="1:5" ht="15.75" customHeight="1">
      <c r="A27" s="172"/>
      <c r="B27" s="144" t="s">
        <v>52</v>
      </c>
      <c r="C27" s="145">
        <f>O15</f>
        <v>400000</v>
      </c>
      <c r="D27" s="146"/>
      <c r="E27" s="147">
        <f t="shared" si="8"/>
        <v>400000</v>
      </c>
    </row>
    <row r="28" spans="1:5" ht="15.75" customHeight="1">
      <c r="A28" s="148"/>
      <c r="B28" s="149" t="s">
        <v>57</v>
      </c>
      <c r="C28" s="150">
        <f>SUM(C22:C27)</f>
        <v>33110000</v>
      </c>
      <c r="D28" s="91"/>
      <c r="E28" s="151"/>
    </row>
    <row r="29" spans="1:5" ht="15.75" customHeight="1">
      <c r="A29" s="148"/>
      <c r="B29" s="91"/>
      <c r="C29" s="91"/>
      <c r="D29" s="184" t="s">
        <v>116</v>
      </c>
      <c r="E29" s="185">
        <f>E22+E23+E24+E25+E26+E27</f>
        <v>17110000</v>
      </c>
    </row>
    <row r="30" spans="1:5" ht="15.75" customHeight="1">
      <c r="A30" s="148"/>
      <c r="B30" s="91"/>
      <c r="C30" s="91"/>
      <c r="D30" s="172"/>
      <c r="E30" s="172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9.69921875" customWidth="1"/>
    <col min="21" max="26" width="7.59765625" customWidth="1"/>
  </cols>
  <sheetData>
    <row r="1" spans="1:20" ht="13.8">
      <c r="A1" s="189" t="s">
        <v>101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8"/>
    </row>
    <row r="2" spans="1:20" ht="13.8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1"/>
    </row>
    <row r="3" spans="1:20" ht="13.8">
      <c r="A3" s="171" t="s">
        <v>1</v>
      </c>
      <c r="B3" s="171" t="s">
        <v>2</v>
      </c>
      <c r="C3" s="171" t="s">
        <v>3</v>
      </c>
      <c r="D3" s="171" t="s">
        <v>4</v>
      </c>
      <c r="E3" s="171" t="s">
        <v>5</v>
      </c>
      <c r="F3" s="171" t="s">
        <v>6</v>
      </c>
      <c r="G3" s="171" t="s">
        <v>7</v>
      </c>
      <c r="H3" s="173" t="s">
        <v>8</v>
      </c>
      <c r="I3" s="174"/>
      <c r="J3" s="174"/>
      <c r="K3" s="175"/>
      <c r="L3" s="173" t="s">
        <v>9</v>
      </c>
      <c r="M3" s="186"/>
      <c r="N3" s="187" t="s">
        <v>10</v>
      </c>
      <c r="O3" s="171" t="s">
        <v>11</v>
      </c>
      <c r="P3" s="171" t="s">
        <v>12</v>
      </c>
      <c r="Q3" s="171" t="s">
        <v>13</v>
      </c>
      <c r="R3" s="171" t="s">
        <v>14</v>
      </c>
      <c r="S3" s="171" t="s">
        <v>15</v>
      </c>
      <c r="T3" s="171" t="s">
        <v>17</v>
      </c>
    </row>
    <row r="4" spans="1:20" ht="13.8">
      <c r="A4" s="172"/>
      <c r="B4" s="172"/>
      <c r="C4" s="172"/>
      <c r="D4" s="172"/>
      <c r="E4" s="172"/>
      <c r="F4" s="172"/>
      <c r="G4" s="172"/>
      <c r="H4" s="108" t="s">
        <v>18</v>
      </c>
      <c r="I4" s="108" t="s">
        <v>19</v>
      </c>
      <c r="J4" s="108" t="s">
        <v>70</v>
      </c>
      <c r="K4" s="109" t="s">
        <v>21</v>
      </c>
      <c r="L4" s="108" t="s">
        <v>71</v>
      </c>
      <c r="M4" s="110" t="s">
        <v>21</v>
      </c>
      <c r="N4" s="188"/>
      <c r="O4" s="172"/>
      <c r="P4" s="172"/>
      <c r="Q4" s="172"/>
      <c r="R4" s="172"/>
      <c r="S4" s="172"/>
      <c r="T4" s="172"/>
    </row>
    <row r="5" spans="1:20" ht="13.8">
      <c r="A5" s="111" t="s">
        <v>23</v>
      </c>
      <c r="B5" s="112" t="s">
        <v>119</v>
      </c>
      <c r="C5" s="113" t="s">
        <v>120</v>
      </c>
      <c r="D5" s="114" t="s">
        <v>31</v>
      </c>
      <c r="E5" s="115">
        <v>5900000</v>
      </c>
      <c r="F5" s="115"/>
      <c r="G5" s="116"/>
      <c r="H5" s="115">
        <v>3798</v>
      </c>
      <c r="I5" s="115">
        <v>3920</v>
      </c>
      <c r="J5" s="115">
        <v>4000</v>
      </c>
      <c r="K5" s="115">
        <f t="shared" ref="K5:K13" si="0">(I5-H5)*J5</f>
        <v>488000</v>
      </c>
      <c r="L5" s="115">
        <v>100000</v>
      </c>
      <c r="M5" s="115">
        <f t="shared" ref="M5:M10" si="1">L5*G5</f>
        <v>0</v>
      </c>
      <c r="N5" s="115"/>
      <c r="O5" s="115"/>
      <c r="P5" s="115"/>
      <c r="Q5" s="115">
        <f>F5+K5+M5+O5+P5</f>
        <v>488000</v>
      </c>
      <c r="R5" s="117"/>
      <c r="S5" s="118">
        <f t="shared" ref="S5:S13" si="2">Q5-R5</f>
        <v>488000</v>
      </c>
      <c r="T5" s="119"/>
    </row>
    <row r="6" spans="1:20" ht="13.8">
      <c r="A6" s="120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115">
        <v>854</v>
      </c>
      <c r="I6" s="115">
        <v>962</v>
      </c>
      <c r="J6" s="21">
        <v>4000</v>
      </c>
      <c r="K6" s="113">
        <f t="shared" si="0"/>
        <v>432000</v>
      </c>
      <c r="L6" s="115">
        <v>100000</v>
      </c>
      <c r="M6" s="115">
        <f t="shared" si="1"/>
        <v>300000</v>
      </c>
      <c r="N6" s="23"/>
      <c r="O6" s="21">
        <v>200000</v>
      </c>
      <c r="P6" s="21">
        <v>250000</v>
      </c>
      <c r="Q6" s="115">
        <f t="shared" ref="Q6:Q7" si="3">F6+K6+M6+P6+O6</f>
        <v>6282000</v>
      </c>
      <c r="R6" s="21"/>
      <c r="S6" s="118">
        <f t="shared" si="2"/>
        <v>6282000</v>
      </c>
      <c r="T6" s="121"/>
    </row>
    <row r="7" spans="1:20" ht="13.8">
      <c r="A7" s="120">
        <v>102</v>
      </c>
      <c r="B7" s="67" t="s">
        <v>30</v>
      </c>
      <c r="C7" s="113" t="s">
        <v>75</v>
      </c>
      <c r="D7" s="73" t="s">
        <v>31</v>
      </c>
      <c r="E7" s="23">
        <v>5500000</v>
      </c>
      <c r="F7" s="23">
        <v>5000000</v>
      </c>
      <c r="G7" s="74">
        <v>2</v>
      </c>
      <c r="H7" s="115">
        <v>2129</v>
      </c>
      <c r="I7" s="115">
        <v>2470</v>
      </c>
      <c r="J7" s="23">
        <v>4000</v>
      </c>
      <c r="K7" s="113">
        <f t="shared" si="0"/>
        <v>1364000</v>
      </c>
      <c r="L7" s="115">
        <v>100000</v>
      </c>
      <c r="M7" s="115">
        <f t="shared" si="1"/>
        <v>200000</v>
      </c>
      <c r="N7" s="23"/>
      <c r="O7" s="23"/>
      <c r="P7" s="23">
        <v>200000</v>
      </c>
      <c r="Q7" s="115">
        <f t="shared" si="3"/>
        <v>6764000</v>
      </c>
      <c r="R7" s="21"/>
      <c r="S7" s="118">
        <f t="shared" si="2"/>
        <v>6764000</v>
      </c>
      <c r="T7" s="121" t="s">
        <v>121</v>
      </c>
    </row>
    <row r="8" spans="1:20" ht="13.8">
      <c r="A8" s="120">
        <v>201</v>
      </c>
      <c r="B8" s="67" t="s">
        <v>33</v>
      </c>
      <c r="C8" s="66" t="s">
        <v>77</v>
      </c>
      <c r="D8" s="73" t="s">
        <v>34</v>
      </c>
      <c r="E8" s="23">
        <v>5900000</v>
      </c>
      <c r="F8" s="23">
        <v>5400000</v>
      </c>
      <c r="G8" s="74">
        <v>2</v>
      </c>
      <c r="H8" s="115">
        <v>827</v>
      </c>
      <c r="I8" s="115">
        <v>927</v>
      </c>
      <c r="J8" s="23">
        <v>4000</v>
      </c>
      <c r="K8" s="113">
        <f t="shared" si="0"/>
        <v>400000</v>
      </c>
      <c r="L8" s="115">
        <v>100000</v>
      </c>
      <c r="M8" s="115">
        <f t="shared" si="1"/>
        <v>200000</v>
      </c>
      <c r="N8" s="23"/>
      <c r="O8" s="23"/>
      <c r="P8" s="23">
        <v>200000</v>
      </c>
      <c r="Q8" s="115">
        <f>F8+K8+M8+O8+P8</f>
        <v>6200000</v>
      </c>
      <c r="R8" s="21"/>
      <c r="S8" s="118">
        <f t="shared" si="2"/>
        <v>6200000</v>
      </c>
      <c r="T8" s="121" t="s">
        <v>121</v>
      </c>
    </row>
    <row r="9" spans="1:20" ht="13.8">
      <c r="A9" s="120">
        <v>202</v>
      </c>
      <c r="B9" s="67" t="s">
        <v>92</v>
      </c>
      <c r="C9" s="66" t="s">
        <v>93</v>
      </c>
      <c r="D9" s="73" t="s">
        <v>94</v>
      </c>
      <c r="E9" s="23">
        <v>5100000</v>
      </c>
      <c r="F9" s="23">
        <v>4600000</v>
      </c>
      <c r="G9" s="74">
        <v>2</v>
      </c>
      <c r="H9" s="115">
        <v>830</v>
      </c>
      <c r="I9" s="115">
        <v>950</v>
      </c>
      <c r="J9" s="23">
        <v>4000</v>
      </c>
      <c r="K9" s="113">
        <f t="shared" si="0"/>
        <v>480000</v>
      </c>
      <c r="L9" s="115">
        <v>100000</v>
      </c>
      <c r="M9" s="115">
        <f t="shared" si="1"/>
        <v>200000</v>
      </c>
      <c r="N9" s="23"/>
      <c r="O9" s="23">
        <v>200000</v>
      </c>
      <c r="P9" s="23">
        <v>200000</v>
      </c>
      <c r="Q9" s="115">
        <f t="shared" ref="Q9:Q10" si="4">F9+K9+M9+P9+O9</f>
        <v>5680000</v>
      </c>
      <c r="R9" s="21"/>
      <c r="S9" s="118">
        <f t="shared" si="2"/>
        <v>5680000</v>
      </c>
      <c r="T9" s="121"/>
    </row>
    <row r="10" spans="1:20" ht="13.8">
      <c r="A10" s="120"/>
      <c r="B10" s="67"/>
      <c r="C10" s="66"/>
      <c r="D10" s="73"/>
      <c r="E10" s="23"/>
      <c r="F10" s="23"/>
      <c r="G10" s="74"/>
      <c r="H10" s="115"/>
      <c r="I10" s="115"/>
      <c r="J10" s="23"/>
      <c r="K10" s="113">
        <f t="shared" si="0"/>
        <v>0</v>
      </c>
      <c r="L10" s="115"/>
      <c r="M10" s="115">
        <f t="shared" si="1"/>
        <v>0</v>
      </c>
      <c r="N10" s="23"/>
      <c r="O10" s="23"/>
      <c r="P10" s="23"/>
      <c r="Q10" s="115">
        <f t="shared" si="4"/>
        <v>0</v>
      </c>
      <c r="R10" s="21"/>
      <c r="S10" s="122">
        <f t="shared" si="2"/>
        <v>0</v>
      </c>
      <c r="T10" s="121"/>
    </row>
    <row r="11" spans="1:20" ht="13.8">
      <c r="A11" s="120"/>
      <c r="B11" s="67"/>
      <c r="C11" s="66"/>
      <c r="D11" s="73"/>
      <c r="E11" s="23"/>
      <c r="F11" s="23"/>
      <c r="G11" s="74"/>
      <c r="H11" s="115"/>
      <c r="I11" s="115"/>
      <c r="J11" s="23"/>
      <c r="K11" s="113">
        <f t="shared" si="0"/>
        <v>0</v>
      </c>
      <c r="L11" s="115"/>
      <c r="M11" s="115"/>
      <c r="N11" s="23"/>
      <c r="O11" s="23"/>
      <c r="P11" s="23"/>
      <c r="Q11" s="115">
        <f t="shared" ref="Q11:Q12" si="5">F11+K11+M11+O11+P11</f>
        <v>0</v>
      </c>
      <c r="R11" s="21"/>
      <c r="S11" s="122">
        <f t="shared" si="2"/>
        <v>0</v>
      </c>
      <c r="T11" s="121"/>
    </row>
    <row r="12" spans="1:20" ht="13.8">
      <c r="A12" s="120"/>
      <c r="B12" s="23"/>
      <c r="C12" s="66"/>
      <c r="D12" s="73"/>
      <c r="E12" s="23"/>
      <c r="F12" s="23"/>
      <c r="G12" s="74"/>
      <c r="H12" s="115"/>
      <c r="I12" s="115"/>
      <c r="J12" s="23"/>
      <c r="K12" s="113">
        <f t="shared" si="0"/>
        <v>0</v>
      </c>
      <c r="L12" s="115"/>
      <c r="M12" s="115"/>
      <c r="N12" s="23"/>
      <c r="O12" s="23"/>
      <c r="P12" s="23"/>
      <c r="Q12" s="115">
        <f t="shared" si="5"/>
        <v>0</v>
      </c>
      <c r="R12" s="21"/>
      <c r="S12" s="122">
        <f t="shared" si="2"/>
        <v>0</v>
      </c>
      <c r="T12" s="121"/>
    </row>
    <row r="13" spans="1:20" ht="13.8">
      <c r="A13" s="120"/>
      <c r="B13" s="23"/>
      <c r="C13" s="66"/>
      <c r="D13" s="73"/>
      <c r="E13" s="23"/>
      <c r="F13" s="23"/>
      <c r="G13" s="74"/>
      <c r="H13" s="115"/>
      <c r="I13" s="115"/>
      <c r="J13" s="23"/>
      <c r="K13" s="113">
        <f t="shared" si="0"/>
        <v>0</v>
      </c>
      <c r="L13" s="115"/>
      <c r="M13" s="115"/>
      <c r="N13" s="23"/>
      <c r="O13" s="23"/>
      <c r="P13" s="23"/>
      <c r="Q13" s="115">
        <f>K13+M13+O13+P13+F13</f>
        <v>0</v>
      </c>
      <c r="R13" s="21"/>
      <c r="S13" s="122">
        <f t="shared" si="2"/>
        <v>0</v>
      </c>
      <c r="T13" s="121"/>
    </row>
    <row r="14" spans="1:20" ht="13.8">
      <c r="A14" s="123"/>
      <c r="B14" s="124"/>
      <c r="C14" s="124"/>
      <c r="D14" s="125"/>
      <c r="E14" s="124"/>
      <c r="F14" s="124"/>
      <c r="G14" s="126"/>
      <c r="H14" s="127"/>
      <c r="I14" s="127"/>
      <c r="J14" s="124"/>
      <c r="K14" s="127"/>
      <c r="L14" s="127"/>
      <c r="M14" s="124"/>
      <c r="N14" s="124"/>
      <c r="O14" s="124"/>
      <c r="P14" s="124"/>
      <c r="Q14" s="127"/>
      <c r="R14" s="127"/>
      <c r="S14" s="124"/>
      <c r="T14" s="128"/>
    </row>
    <row r="15" spans="1:20" ht="16.8">
      <c r="A15" s="129"/>
      <c r="B15" s="130" t="s">
        <v>79</v>
      </c>
      <c r="C15" s="130"/>
      <c r="D15" s="131"/>
      <c r="E15" s="132">
        <f t="shared" ref="E15:G15" si="6">SUM(E5:E14)</f>
        <v>28000000</v>
      </c>
      <c r="F15" s="132">
        <f t="shared" si="6"/>
        <v>20100000</v>
      </c>
      <c r="G15" s="133">
        <f t="shared" si="6"/>
        <v>9</v>
      </c>
      <c r="H15" s="132"/>
      <c r="I15" s="132"/>
      <c r="J15" s="132"/>
      <c r="K15" s="132">
        <f>SUM(K5:K13)</f>
        <v>3164000</v>
      </c>
      <c r="L15" s="132"/>
      <c r="M15" s="132">
        <f t="shared" ref="M15:P15" si="7">SUM(M5:M14)</f>
        <v>900000</v>
      </c>
      <c r="N15" s="134">
        <f t="shared" si="7"/>
        <v>0</v>
      </c>
      <c r="O15" s="134">
        <f t="shared" si="7"/>
        <v>400000</v>
      </c>
      <c r="P15" s="132">
        <f t="shared" si="7"/>
        <v>850000</v>
      </c>
      <c r="Q15" s="132">
        <f>SUM(Q5:Q13)</f>
        <v>25414000</v>
      </c>
      <c r="R15" s="132">
        <f>SUM(R5:R12)</f>
        <v>0</v>
      </c>
      <c r="S15" s="134">
        <f>SUM(S5:S13)</f>
        <v>25414000</v>
      </c>
      <c r="T15" s="135"/>
    </row>
    <row r="19" spans="1:5" ht="13.8">
      <c r="A19" s="176" t="s">
        <v>39</v>
      </c>
      <c r="B19" s="177"/>
      <c r="C19" s="177"/>
      <c r="D19" s="177"/>
      <c r="E19" s="178"/>
    </row>
    <row r="20" spans="1:5" ht="13.8">
      <c r="A20" s="179"/>
      <c r="B20" s="180"/>
      <c r="C20" s="180"/>
      <c r="D20" s="180"/>
      <c r="E20" s="181"/>
    </row>
    <row r="21" spans="1:5" ht="15.75" customHeight="1">
      <c r="A21" s="182" t="s">
        <v>40</v>
      </c>
      <c r="B21" s="136" t="s">
        <v>41</v>
      </c>
      <c r="C21" s="137" t="s">
        <v>42</v>
      </c>
      <c r="D21" s="137" t="s">
        <v>43</v>
      </c>
      <c r="E21" s="138" t="s">
        <v>44</v>
      </c>
    </row>
    <row r="22" spans="1:5" ht="15.75" customHeight="1">
      <c r="A22" s="183"/>
      <c r="B22" s="139" t="s">
        <v>111</v>
      </c>
      <c r="C22" s="140">
        <f>F15</f>
        <v>20100000</v>
      </c>
      <c r="D22" s="140">
        <v>15000000</v>
      </c>
      <c r="E22" s="141">
        <f t="shared" ref="E22:E27" si="8">C22-D22</f>
        <v>5100000</v>
      </c>
    </row>
    <row r="23" spans="1:5" ht="15.75" customHeight="1">
      <c r="A23" s="183"/>
      <c r="B23" s="142" t="s">
        <v>112</v>
      </c>
      <c r="C23" s="67">
        <f>K15</f>
        <v>3164000</v>
      </c>
      <c r="D23" s="23"/>
      <c r="E23" s="143">
        <f t="shared" si="8"/>
        <v>3164000</v>
      </c>
    </row>
    <row r="24" spans="1:5" ht="15.75" customHeight="1">
      <c r="A24" s="183"/>
      <c r="B24" s="142" t="s">
        <v>113</v>
      </c>
      <c r="C24" s="67">
        <f>M15</f>
        <v>900000</v>
      </c>
      <c r="D24" s="75"/>
      <c r="E24" s="143">
        <f t="shared" si="8"/>
        <v>900000</v>
      </c>
    </row>
    <row r="25" spans="1:5" ht="15.75" customHeight="1">
      <c r="A25" s="183"/>
      <c r="B25" s="142" t="s">
        <v>114</v>
      </c>
      <c r="C25" s="67">
        <f>P15</f>
        <v>850000</v>
      </c>
      <c r="D25" s="23">
        <v>500000</v>
      </c>
      <c r="E25" s="143">
        <f t="shared" si="8"/>
        <v>350000</v>
      </c>
    </row>
    <row r="26" spans="1:5" ht="15.75" customHeight="1">
      <c r="A26" s="183"/>
      <c r="B26" s="142" t="s">
        <v>115</v>
      </c>
      <c r="C26" s="67">
        <f>N17</f>
        <v>0</v>
      </c>
      <c r="D26" s="67">
        <v>500000</v>
      </c>
      <c r="E26" s="143">
        <f t="shared" si="8"/>
        <v>-500000</v>
      </c>
    </row>
    <row r="27" spans="1:5" ht="15.75" customHeight="1">
      <c r="A27" s="172"/>
      <c r="B27" s="144" t="s">
        <v>52</v>
      </c>
      <c r="C27" s="145">
        <f>O15</f>
        <v>400000</v>
      </c>
      <c r="D27" s="146"/>
      <c r="E27" s="147">
        <f t="shared" si="8"/>
        <v>400000</v>
      </c>
    </row>
    <row r="28" spans="1:5" ht="15.75" customHeight="1">
      <c r="A28" s="148"/>
      <c r="B28" s="149" t="s">
        <v>57</v>
      </c>
      <c r="C28" s="150">
        <f>SUM(C22:C27)</f>
        <v>25414000</v>
      </c>
      <c r="D28" s="91"/>
      <c r="E28" s="151"/>
    </row>
    <row r="29" spans="1:5" ht="15.75" customHeight="1">
      <c r="A29" s="148"/>
      <c r="B29" s="91"/>
      <c r="C29" s="91"/>
      <c r="D29" s="184" t="s">
        <v>116</v>
      </c>
      <c r="E29" s="185">
        <f>E22+E23+E24+E25+E26+E27</f>
        <v>9414000</v>
      </c>
    </row>
    <row r="30" spans="1:5" ht="15.75" customHeight="1">
      <c r="A30" s="148"/>
      <c r="B30" s="91"/>
      <c r="C30" s="91"/>
      <c r="D30" s="172"/>
      <c r="E30" s="172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9.69921875" customWidth="1"/>
    <col min="21" max="26" width="7.59765625" customWidth="1"/>
  </cols>
  <sheetData>
    <row r="1" spans="1:20" ht="13.8">
      <c r="A1" s="189" t="s">
        <v>101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8"/>
    </row>
    <row r="2" spans="1:20" ht="13.8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1"/>
    </row>
    <row r="3" spans="1:20" ht="13.8">
      <c r="A3" s="171" t="s">
        <v>1</v>
      </c>
      <c r="B3" s="171" t="s">
        <v>2</v>
      </c>
      <c r="C3" s="171" t="s">
        <v>3</v>
      </c>
      <c r="D3" s="171" t="s">
        <v>4</v>
      </c>
      <c r="E3" s="171" t="s">
        <v>5</v>
      </c>
      <c r="F3" s="171" t="s">
        <v>6</v>
      </c>
      <c r="G3" s="171" t="s">
        <v>7</v>
      </c>
      <c r="H3" s="173" t="s">
        <v>8</v>
      </c>
      <c r="I3" s="174"/>
      <c r="J3" s="174"/>
      <c r="K3" s="175"/>
      <c r="L3" s="173" t="s">
        <v>9</v>
      </c>
      <c r="M3" s="186"/>
      <c r="N3" s="187" t="s">
        <v>10</v>
      </c>
      <c r="O3" s="171" t="s">
        <v>11</v>
      </c>
      <c r="P3" s="171" t="s">
        <v>12</v>
      </c>
      <c r="Q3" s="171" t="s">
        <v>13</v>
      </c>
      <c r="R3" s="171" t="s">
        <v>14</v>
      </c>
      <c r="S3" s="171" t="s">
        <v>15</v>
      </c>
      <c r="T3" s="171" t="s">
        <v>17</v>
      </c>
    </row>
    <row r="4" spans="1:20" ht="13.8">
      <c r="A4" s="172"/>
      <c r="B4" s="172"/>
      <c r="C4" s="172"/>
      <c r="D4" s="172"/>
      <c r="E4" s="172"/>
      <c r="F4" s="172"/>
      <c r="G4" s="172"/>
      <c r="H4" s="108" t="s">
        <v>18</v>
      </c>
      <c r="I4" s="108" t="s">
        <v>19</v>
      </c>
      <c r="J4" s="108" t="s">
        <v>70</v>
      </c>
      <c r="K4" s="109" t="s">
        <v>21</v>
      </c>
      <c r="L4" s="108" t="s">
        <v>71</v>
      </c>
      <c r="M4" s="110" t="s">
        <v>21</v>
      </c>
      <c r="N4" s="188"/>
      <c r="O4" s="172"/>
      <c r="P4" s="172"/>
      <c r="Q4" s="172"/>
      <c r="R4" s="172"/>
      <c r="S4" s="172"/>
      <c r="T4" s="172"/>
    </row>
    <row r="5" spans="1:20" ht="13.8">
      <c r="A5" s="111" t="s">
        <v>23</v>
      </c>
      <c r="B5" s="112" t="s">
        <v>24</v>
      </c>
      <c r="C5" s="113" t="s">
        <v>72</v>
      </c>
      <c r="D5" s="114" t="s">
        <v>25</v>
      </c>
      <c r="E5" s="115">
        <v>6000000</v>
      </c>
      <c r="F5" s="115">
        <v>5500000</v>
      </c>
      <c r="G5" s="116">
        <v>2</v>
      </c>
      <c r="H5" s="115">
        <v>3960</v>
      </c>
      <c r="I5" s="115">
        <v>3960</v>
      </c>
      <c r="J5" s="115">
        <v>4000</v>
      </c>
      <c r="K5" s="115">
        <f t="shared" ref="K5:K13" si="0">(I5-H5)*J5</f>
        <v>0</v>
      </c>
      <c r="L5" s="115">
        <v>100000</v>
      </c>
      <c r="M5" s="115">
        <f t="shared" ref="M5:M10" si="1">L5*G5</f>
        <v>200000</v>
      </c>
      <c r="N5" s="115"/>
      <c r="O5" s="115"/>
      <c r="P5" s="115">
        <v>200000</v>
      </c>
      <c r="Q5" s="115">
        <f>F5+K5+M5+O5+P5</f>
        <v>5900000</v>
      </c>
      <c r="R5" s="117"/>
      <c r="S5" s="122">
        <f t="shared" ref="S5:S13" si="2">Q5-R5</f>
        <v>5900000</v>
      </c>
      <c r="T5" s="119"/>
    </row>
    <row r="6" spans="1:20" ht="13.8">
      <c r="A6" s="120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115">
        <v>962</v>
      </c>
      <c r="I6" s="115">
        <v>1072</v>
      </c>
      <c r="J6" s="21">
        <v>4000</v>
      </c>
      <c r="K6" s="113">
        <f t="shared" si="0"/>
        <v>440000</v>
      </c>
      <c r="L6" s="115">
        <v>100000</v>
      </c>
      <c r="M6" s="115">
        <f t="shared" si="1"/>
        <v>300000</v>
      </c>
      <c r="N6" s="23"/>
      <c r="O6" s="21">
        <v>200000</v>
      </c>
      <c r="P6" s="21">
        <v>250000</v>
      </c>
      <c r="Q6" s="115">
        <f t="shared" ref="Q6:Q7" si="3">F6+K6+M6+P6+O6</f>
        <v>6290000</v>
      </c>
      <c r="R6" s="21"/>
      <c r="S6" s="122">
        <f t="shared" si="2"/>
        <v>6290000</v>
      </c>
      <c r="T6" s="121"/>
    </row>
    <row r="7" spans="1:20" ht="13.8">
      <c r="A7" s="120">
        <v>102</v>
      </c>
      <c r="B7" s="67" t="s">
        <v>30</v>
      </c>
      <c r="C7" s="113" t="s">
        <v>75</v>
      </c>
      <c r="D7" s="73" t="s">
        <v>31</v>
      </c>
      <c r="E7" s="23">
        <v>5500000</v>
      </c>
      <c r="F7" s="23">
        <v>5000000</v>
      </c>
      <c r="G7" s="74">
        <v>2</v>
      </c>
      <c r="H7" s="115">
        <v>2470</v>
      </c>
      <c r="I7" s="115">
        <v>2846</v>
      </c>
      <c r="J7" s="23">
        <v>4000</v>
      </c>
      <c r="K7" s="113">
        <f t="shared" si="0"/>
        <v>1504000</v>
      </c>
      <c r="L7" s="115">
        <v>100000</v>
      </c>
      <c r="M7" s="115">
        <f t="shared" si="1"/>
        <v>200000</v>
      </c>
      <c r="N7" s="23"/>
      <c r="O7" s="23"/>
      <c r="P7" s="23">
        <v>200000</v>
      </c>
      <c r="Q7" s="115">
        <f t="shared" si="3"/>
        <v>6904000</v>
      </c>
      <c r="R7" s="21"/>
      <c r="S7" s="122">
        <f t="shared" si="2"/>
        <v>6904000</v>
      </c>
      <c r="T7" s="121" t="s">
        <v>121</v>
      </c>
    </row>
    <row r="8" spans="1:20" ht="13.8">
      <c r="A8" s="120">
        <v>201</v>
      </c>
      <c r="B8" s="67" t="s">
        <v>33</v>
      </c>
      <c r="C8" s="66" t="s">
        <v>77</v>
      </c>
      <c r="D8" s="73" t="s">
        <v>34</v>
      </c>
      <c r="E8" s="23">
        <v>5900000</v>
      </c>
      <c r="F8" s="23">
        <v>5400000</v>
      </c>
      <c r="G8" s="74">
        <v>2</v>
      </c>
      <c r="H8" s="115">
        <v>927</v>
      </c>
      <c r="I8" s="115">
        <v>1031</v>
      </c>
      <c r="J8" s="23">
        <v>4000</v>
      </c>
      <c r="K8" s="113">
        <f t="shared" si="0"/>
        <v>416000</v>
      </c>
      <c r="L8" s="115">
        <v>100000</v>
      </c>
      <c r="M8" s="115">
        <f t="shared" si="1"/>
        <v>200000</v>
      </c>
      <c r="N8" s="23"/>
      <c r="O8" s="23"/>
      <c r="P8" s="23">
        <v>200000</v>
      </c>
      <c r="Q8" s="115">
        <f>F8+K8+M8+O8+P8</f>
        <v>6216000</v>
      </c>
      <c r="R8" s="21"/>
      <c r="S8" s="122">
        <f t="shared" si="2"/>
        <v>6216000</v>
      </c>
      <c r="T8" s="121" t="s">
        <v>121</v>
      </c>
    </row>
    <row r="9" spans="1:20" ht="13.8">
      <c r="A9" s="120">
        <v>202</v>
      </c>
      <c r="B9" s="67" t="s">
        <v>92</v>
      </c>
      <c r="C9" s="66" t="s">
        <v>93</v>
      </c>
      <c r="D9" s="73" t="s">
        <v>94</v>
      </c>
      <c r="E9" s="23">
        <v>5100000</v>
      </c>
      <c r="F9" s="23">
        <v>4600000</v>
      </c>
      <c r="G9" s="74">
        <v>2</v>
      </c>
      <c r="H9" s="115">
        <v>950</v>
      </c>
      <c r="I9" s="115">
        <v>1096</v>
      </c>
      <c r="J9" s="23">
        <v>4000</v>
      </c>
      <c r="K9" s="113">
        <f t="shared" si="0"/>
        <v>584000</v>
      </c>
      <c r="L9" s="115">
        <v>100000</v>
      </c>
      <c r="M9" s="115">
        <f t="shared" si="1"/>
        <v>200000</v>
      </c>
      <c r="N9" s="23"/>
      <c r="O9" s="23">
        <v>200000</v>
      </c>
      <c r="P9" s="23">
        <v>200000</v>
      </c>
      <c r="Q9" s="115">
        <f t="shared" ref="Q9:Q10" si="4">F9+K9+M9+P9+O9</f>
        <v>5784000</v>
      </c>
      <c r="R9" s="21"/>
      <c r="S9" s="122">
        <f t="shared" si="2"/>
        <v>5784000</v>
      </c>
      <c r="T9" s="121"/>
    </row>
    <row r="10" spans="1:20" ht="13.8">
      <c r="A10" s="120"/>
      <c r="B10" s="67"/>
      <c r="C10" s="66"/>
      <c r="D10" s="73"/>
      <c r="E10" s="23"/>
      <c r="F10" s="23"/>
      <c r="G10" s="74"/>
      <c r="H10" s="115"/>
      <c r="I10" s="115"/>
      <c r="J10" s="23"/>
      <c r="K10" s="113">
        <f t="shared" si="0"/>
        <v>0</v>
      </c>
      <c r="L10" s="115"/>
      <c r="M10" s="115">
        <f t="shared" si="1"/>
        <v>0</v>
      </c>
      <c r="N10" s="23"/>
      <c r="O10" s="23"/>
      <c r="P10" s="23"/>
      <c r="Q10" s="115">
        <f t="shared" si="4"/>
        <v>0</v>
      </c>
      <c r="R10" s="21"/>
      <c r="S10" s="122">
        <f t="shared" si="2"/>
        <v>0</v>
      </c>
      <c r="T10" s="121"/>
    </row>
    <row r="11" spans="1:20" ht="13.8">
      <c r="A11" s="120"/>
      <c r="B11" s="67"/>
      <c r="C11" s="66"/>
      <c r="D11" s="73"/>
      <c r="E11" s="23"/>
      <c r="F11" s="23"/>
      <c r="G11" s="74"/>
      <c r="H11" s="115"/>
      <c r="I11" s="115"/>
      <c r="J11" s="23"/>
      <c r="K11" s="113">
        <f t="shared" si="0"/>
        <v>0</v>
      </c>
      <c r="L11" s="115"/>
      <c r="M11" s="115"/>
      <c r="N11" s="23"/>
      <c r="O11" s="23"/>
      <c r="P11" s="23"/>
      <c r="Q11" s="115">
        <f t="shared" ref="Q11:Q12" si="5">F11+K11+M11+O11+P11</f>
        <v>0</v>
      </c>
      <c r="R11" s="21"/>
      <c r="S11" s="122">
        <f t="shared" si="2"/>
        <v>0</v>
      </c>
      <c r="T11" s="121"/>
    </row>
    <row r="12" spans="1:20" ht="13.8">
      <c r="A12" s="120"/>
      <c r="B12" s="23"/>
      <c r="C12" s="66"/>
      <c r="D12" s="73"/>
      <c r="E12" s="23"/>
      <c r="F12" s="23"/>
      <c r="G12" s="74"/>
      <c r="H12" s="115"/>
      <c r="I12" s="115"/>
      <c r="J12" s="23"/>
      <c r="K12" s="113">
        <f t="shared" si="0"/>
        <v>0</v>
      </c>
      <c r="L12" s="115"/>
      <c r="M12" s="115"/>
      <c r="N12" s="23"/>
      <c r="O12" s="23"/>
      <c r="P12" s="23"/>
      <c r="Q12" s="115">
        <f t="shared" si="5"/>
        <v>0</v>
      </c>
      <c r="R12" s="21"/>
      <c r="S12" s="122">
        <f t="shared" si="2"/>
        <v>0</v>
      </c>
      <c r="T12" s="121"/>
    </row>
    <row r="13" spans="1:20" ht="13.8">
      <c r="A13" s="120"/>
      <c r="B13" s="23"/>
      <c r="C13" s="66"/>
      <c r="D13" s="73"/>
      <c r="E13" s="23"/>
      <c r="F13" s="23"/>
      <c r="G13" s="74"/>
      <c r="H13" s="115"/>
      <c r="I13" s="115"/>
      <c r="J13" s="23"/>
      <c r="K13" s="113">
        <f t="shared" si="0"/>
        <v>0</v>
      </c>
      <c r="L13" s="115"/>
      <c r="M13" s="115"/>
      <c r="N13" s="23"/>
      <c r="O13" s="23"/>
      <c r="P13" s="23"/>
      <c r="Q13" s="115">
        <f>K13+M13+O13+P13+F13</f>
        <v>0</v>
      </c>
      <c r="R13" s="21"/>
      <c r="S13" s="122">
        <f t="shared" si="2"/>
        <v>0</v>
      </c>
      <c r="T13" s="121"/>
    </row>
    <row r="14" spans="1:20" ht="13.8">
      <c r="A14" s="123"/>
      <c r="B14" s="124"/>
      <c r="C14" s="124"/>
      <c r="D14" s="125"/>
      <c r="E14" s="124"/>
      <c r="F14" s="124"/>
      <c r="G14" s="126"/>
      <c r="H14" s="127"/>
      <c r="I14" s="127"/>
      <c r="J14" s="124"/>
      <c r="K14" s="127"/>
      <c r="L14" s="127"/>
      <c r="M14" s="124"/>
      <c r="N14" s="124"/>
      <c r="O14" s="124"/>
      <c r="P14" s="124"/>
      <c r="Q14" s="127"/>
      <c r="R14" s="127"/>
      <c r="S14" s="124"/>
      <c r="T14" s="128"/>
    </row>
    <row r="15" spans="1:20" ht="16.8">
      <c r="A15" s="129"/>
      <c r="B15" s="130" t="s">
        <v>79</v>
      </c>
      <c r="C15" s="130"/>
      <c r="D15" s="131"/>
      <c r="E15" s="132">
        <f t="shared" ref="E15:G15" si="6">SUM(E5:E14)</f>
        <v>28100000</v>
      </c>
      <c r="F15" s="132">
        <f t="shared" si="6"/>
        <v>25600000</v>
      </c>
      <c r="G15" s="133">
        <f t="shared" si="6"/>
        <v>11</v>
      </c>
      <c r="H15" s="132"/>
      <c r="I15" s="132"/>
      <c r="J15" s="132"/>
      <c r="K15" s="132">
        <f>SUM(K5:K13)</f>
        <v>2944000</v>
      </c>
      <c r="L15" s="132"/>
      <c r="M15" s="132">
        <f t="shared" ref="M15:P15" si="7">SUM(M5:M14)</f>
        <v>1100000</v>
      </c>
      <c r="N15" s="134">
        <f t="shared" si="7"/>
        <v>0</v>
      </c>
      <c r="O15" s="134">
        <f t="shared" si="7"/>
        <v>400000</v>
      </c>
      <c r="P15" s="132">
        <f t="shared" si="7"/>
        <v>1050000</v>
      </c>
      <c r="Q15" s="132">
        <f>SUM(Q5:Q13)</f>
        <v>31094000</v>
      </c>
      <c r="R15" s="132">
        <f>SUM(R5:R12)</f>
        <v>0</v>
      </c>
      <c r="S15" s="134">
        <f>SUM(S5:S13)</f>
        <v>31094000</v>
      </c>
      <c r="T15" s="135"/>
    </row>
    <row r="19" spans="1:5" ht="13.8">
      <c r="A19" s="176" t="s">
        <v>39</v>
      </c>
      <c r="B19" s="177"/>
      <c r="C19" s="177"/>
      <c r="D19" s="177"/>
      <c r="E19" s="178"/>
    </row>
    <row r="20" spans="1:5" ht="13.8">
      <c r="A20" s="179"/>
      <c r="B20" s="180"/>
      <c r="C20" s="180"/>
      <c r="D20" s="180"/>
      <c r="E20" s="181"/>
    </row>
    <row r="21" spans="1:5" ht="15.75" customHeight="1">
      <c r="A21" s="182" t="s">
        <v>40</v>
      </c>
      <c r="B21" s="136" t="s">
        <v>41</v>
      </c>
      <c r="C21" s="137" t="s">
        <v>42</v>
      </c>
      <c r="D21" s="137" t="s">
        <v>43</v>
      </c>
      <c r="E21" s="138" t="s">
        <v>44</v>
      </c>
    </row>
    <row r="22" spans="1:5" ht="15.75" customHeight="1">
      <c r="A22" s="183"/>
      <c r="B22" s="139" t="s">
        <v>111</v>
      </c>
      <c r="C22" s="140">
        <f>F15</f>
        <v>25600000</v>
      </c>
      <c r="D22" s="140">
        <v>15000000</v>
      </c>
      <c r="E22" s="141">
        <f t="shared" ref="E22:E27" si="8">C22-D22</f>
        <v>10600000</v>
      </c>
    </row>
    <row r="23" spans="1:5" ht="15.75" customHeight="1">
      <c r="A23" s="183"/>
      <c r="B23" s="142" t="s">
        <v>112</v>
      </c>
      <c r="C23" s="67">
        <f>K15</f>
        <v>2944000</v>
      </c>
      <c r="D23" s="23"/>
      <c r="E23" s="143">
        <f t="shared" si="8"/>
        <v>2944000</v>
      </c>
    </row>
    <row r="24" spans="1:5" ht="15.75" customHeight="1">
      <c r="A24" s="183"/>
      <c r="B24" s="142" t="s">
        <v>113</v>
      </c>
      <c r="C24" s="67">
        <f>M15</f>
        <v>1100000</v>
      </c>
      <c r="D24" s="75"/>
      <c r="E24" s="143">
        <f t="shared" si="8"/>
        <v>1100000</v>
      </c>
    </row>
    <row r="25" spans="1:5" ht="15.75" customHeight="1">
      <c r="A25" s="183"/>
      <c r="B25" s="142" t="s">
        <v>114</v>
      </c>
      <c r="C25" s="67">
        <f>P15</f>
        <v>1050000</v>
      </c>
      <c r="D25" s="23">
        <v>500000</v>
      </c>
      <c r="E25" s="143">
        <f t="shared" si="8"/>
        <v>550000</v>
      </c>
    </row>
    <row r="26" spans="1:5" ht="15.75" customHeight="1">
      <c r="A26" s="183"/>
      <c r="B26" s="142" t="s">
        <v>115</v>
      </c>
      <c r="C26" s="67">
        <f>N17</f>
        <v>0</v>
      </c>
      <c r="D26" s="67">
        <v>500000</v>
      </c>
      <c r="E26" s="143">
        <f t="shared" si="8"/>
        <v>-500000</v>
      </c>
    </row>
    <row r="27" spans="1:5" ht="15.75" customHeight="1">
      <c r="A27" s="172"/>
      <c r="B27" s="144" t="s">
        <v>52</v>
      </c>
      <c r="C27" s="145">
        <f>O15</f>
        <v>400000</v>
      </c>
      <c r="D27" s="146"/>
      <c r="E27" s="147">
        <f t="shared" si="8"/>
        <v>400000</v>
      </c>
    </row>
    <row r="28" spans="1:5" ht="15.75" customHeight="1">
      <c r="A28" s="148"/>
      <c r="B28" s="149" t="s">
        <v>57</v>
      </c>
      <c r="C28" s="150">
        <f>SUM(C22:C27)</f>
        <v>31094000</v>
      </c>
      <c r="D28" s="91"/>
      <c r="E28" s="151"/>
    </row>
    <row r="29" spans="1:5" ht="15.75" customHeight="1">
      <c r="A29" s="148"/>
      <c r="B29" s="91"/>
      <c r="C29" s="91"/>
      <c r="D29" s="184" t="s">
        <v>116</v>
      </c>
      <c r="E29" s="185">
        <f>E22+E23+E24+E25+E26+E27</f>
        <v>15094000</v>
      </c>
    </row>
    <row r="30" spans="1:5" ht="15.75" customHeight="1">
      <c r="A30" s="148"/>
      <c r="B30" s="91"/>
      <c r="C30" s="91"/>
      <c r="D30" s="172"/>
      <c r="E30" s="172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9.69921875" customWidth="1"/>
    <col min="21" max="26" width="7.59765625" customWidth="1"/>
  </cols>
  <sheetData>
    <row r="1" spans="1:20" ht="13.8">
      <c r="A1" s="189" t="s">
        <v>101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8"/>
    </row>
    <row r="2" spans="1:20" ht="13.8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1"/>
    </row>
    <row r="3" spans="1:20" ht="13.8">
      <c r="A3" s="171" t="s">
        <v>1</v>
      </c>
      <c r="B3" s="171" t="s">
        <v>2</v>
      </c>
      <c r="C3" s="171" t="s">
        <v>3</v>
      </c>
      <c r="D3" s="171" t="s">
        <v>4</v>
      </c>
      <c r="E3" s="171" t="s">
        <v>5</v>
      </c>
      <c r="F3" s="171" t="s">
        <v>6</v>
      </c>
      <c r="G3" s="171" t="s">
        <v>7</v>
      </c>
      <c r="H3" s="173" t="s">
        <v>8</v>
      </c>
      <c r="I3" s="174"/>
      <c r="J3" s="174"/>
      <c r="K3" s="175"/>
      <c r="L3" s="173" t="s">
        <v>9</v>
      </c>
      <c r="M3" s="186"/>
      <c r="N3" s="187" t="s">
        <v>10</v>
      </c>
      <c r="O3" s="171" t="s">
        <v>11</v>
      </c>
      <c r="P3" s="171" t="s">
        <v>12</v>
      </c>
      <c r="Q3" s="171" t="s">
        <v>13</v>
      </c>
      <c r="R3" s="171" t="s">
        <v>14</v>
      </c>
      <c r="S3" s="171" t="s">
        <v>15</v>
      </c>
      <c r="T3" s="171" t="s">
        <v>17</v>
      </c>
    </row>
    <row r="4" spans="1:20" ht="13.8">
      <c r="A4" s="172"/>
      <c r="B4" s="172"/>
      <c r="C4" s="172"/>
      <c r="D4" s="172"/>
      <c r="E4" s="172"/>
      <c r="F4" s="172"/>
      <c r="G4" s="172"/>
      <c r="H4" s="108" t="s">
        <v>18</v>
      </c>
      <c r="I4" s="108" t="s">
        <v>19</v>
      </c>
      <c r="J4" s="108" t="s">
        <v>70</v>
      </c>
      <c r="K4" s="109" t="s">
        <v>21</v>
      </c>
      <c r="L4" s="108" t="s">
        <v>71</v>
      </c>
      <c r="M4" s="110" t="s">
        <v>21</v>
      </c>
      <c r="N4" s="188"/>
      <c r="O4" s="172"/>
      <c r="P4" s="172"/>
      <c r="Q4" s="172"/>
      <c r="R4" s="172"/>
      <c r="S4" s="172"/>
      <c r="T4" s="172"/>
    </row>
    <row r="5" spans="1:20" ht="13.8">
      <c r="A5" s="111" t="s">
        <v>23</v>
      </c>
      <c r="B5" s="112" t="s">
        <v>24</v>
      </c>
      <c r="C5" s="113" t="s">
        <v>72</v>
      </c>
      <c r="D5" s="114" t="s">
        <v>25</v>
      </c>
      <c r="E5" s="115">
        <v>6000000</v>
      </c>
      <c r="F5" s="115">
        <v>5500000</v>
      </c>
      <c r="G5" s="116">
        <v>2</v>
      </c>
      <c r="H5" s="115">
        <v>3960</v>
      </c>
      <c r="I5" s="115">
        <v>4202</v>
      </c>
      <c r="J5" s="115">
        <v>4000</v>
      </c>
      <c r="K5" s="115">
        <f t="shared" ref="K5:K13" si="0">(I5-H5)*J5</f>
        <v>968000</v>
      </c>
      <c r="L5" s="115">
        <v>100000</v>
      </c>
      <c r="M5" s="115">
        <f t="shared" ref="M5:M10" si="1">L5*G5</f>
        <v>200000</v>
      </c>
      <c r="N5" s="115"/>
      <c r="O5" s="115"/>
      <c r="P5" s="115">
        <v>200000</v>
      </c>
      <c r="Q5" s="115">
        <f>F5+K5+M5+O5+P5</f>
        <v>6868000</v>
      </c>
      <c r="R5" s="117"/>
      <c r="S5" s="122">
        <f t="shared" ref="S5:S13" si="2">Q5-R5</f>
        <v>6868000</v>
      </c>
      <c r="T5" s="119"/>
    </row>
    <row r="6" spans="1:20" ht="13.8">
      <c r="A6" s="120">
        <v>101</v>
      </c>
      <c r="B6" s="67" t="s">
        <v>27</v>
      </c>
      <c r="C6" s="72" t="s">
        <v>74</v>
      </c>
      <c r="D6" s="73" t="s">
        <v>28</v>
      </c>
      <c r="E6" s="21">
        <v>5600000</v>
      </c>
      <c r="F6" s="21">
        <v>5100000</v>
      </c>
      <c r="G6" s="74">
        <v>3</v>
      </c>
      <c r="H6" s="115">
        <v>1072</v>
      </c>
      <c r="I6" s="115">
        <v>1184</v>
      </c>
      <c r="J6" s="21">
        <v>4000</v>
      </c>
      <c r="K6" s="113">
        <f t="shared" si="0"/>
        <v>448000</v>
      </c>
      <c r="L6" s="115">
        <v>100000</v>
      </c>
      <c r="M6" s="115">
        <f t="shared" si="1"/>
        <v>300000</v>
      </c>
      <c r="N6" s="23"/>
      <c r="O6" s="21">
        <v>200000</v>
      </c>
      <c r="P6" s="21">
        <v>250000</v>
      </c>
      <c r="Q6" s="115">
        <f t="shared" ref="Q6:Q7" si="3">F6+K6+M6+P6+O6</f>
        <v>6298000</v>
      </c>
      <c r="R6" s="21"/>
      <c r="S6" s="122">
        <f t="shared" si="2"/>
        <v>6298000</v>
      </c>
      <c r="T6" s="121"/>
    </row>
    <row r="7" spans="1:20" ht="13.8">
      <c r="A7" s="120">
        <v>102</v>
      </c>
      <c r="B7" s="67" t="s">
        <v>30</v>
      </c>
      <c r="C7" s="113" t="s">
        <v>75</v>
      </c>
      <c r="D7" s="73" t="s">
        <v>31</v>
      </c>
      <c r="E7" s="23">
        <v>5500000</v>
      </c>
      <c r="F7" s="23">
        <v>5000000</v>
      </c>
      <c r="G7" s="74">
        <v>2</v>
      </c>
      <c r="H7" s="115">
        <v>2846</v>
      </c>
      <c r="I7" s="115">
        <v>3171</v>
      </c>
      <c r="J7" s="23">
        <v>4000</v>
      </c>
      <c r="K7" s="113">
        <f t="shared" si="0"/>
        <v>1300000</v>
      </c>
      <c r="L7" s="115">
        <v>100000</v>
      </c>
      <c r="M7" s="115">
        <f t="shared" si="1"/>
        <v>200000</v>
      </c>
      <c r="N7" s="23"/>
      <c r="O7" s="23"/>
      <c r="P7" s="23">
        <v>200000</v>
      </c>
      <c r="Q7" s="115">
        <f t="shared" si="3"/>
        <v>6700000</v>
      </c>
      <c r="R7" s="21"/>
      <c r="S7" s="118">
        <f t="shared" si="2"/>
        <v>6700000</v>
      </c>
      <c r="T7" s="121" t="s">
        <v>121</v>
      </c>
    </row>
    <row r="8" spans="1:20" ht="13.8">
      <c r="A8" s="120">
        <v>201</v>
      </c>
      <c r="B8" s="67" t="s">
        <v>33</v>
      </c>
      <c r="C8" s="66" t="s">
        <v>77</v>
      </c>
      <c r="D8" s="73" t="s">
        <v>34</v>
      </c>
      <c r="E8" s="23">
        <v>5900000</v>
      </c>
      <c r="F8" s="23">
        <v>5400000</v>
      </c>
      <c r="G8" s="74">
        <v>2</v>
      </c>
      <c r="H8" s="115">
        <v>1031</v>
      </c>
      <c r="I8" s="115">
        <v>1145</v>
      </c>
      <c r="J8" s="23">
        <v>4000</v>
      </c>
      <c r="K8" s="113">
        <f t="shared" si="0"/>
        <v>456000</v>
      </c>
      <c r="L8" s="115">
        <v>100000</v>
      </c>
      <c r="M8" s="115">
        <f t="shared" si="1"/>
        <v>200000</v>
      </c>
      <c r="N8" s="23"/>
      <c r="O8" s="23"/>
      <c r="P8" s="23">
        <v>200000</v>
      </c>
      <c r="Q8" s="115">
        <f>F8+K8+M8+O8+P8</f>
        <v>6256000</v>
      </c>
      <c r="R8" s="21"/>
      <c r="S8" s="122">
        <f t="shared" si="2"/>
        <v>6256000</v>
      </c>
      <c r="T8" s="121" t="s">
        <v>121</v>
      </c>
    </row>
    <row r="9" spans="1:20" ht="13.8">
      <c r="A9" s="120">
        <v>202</v>
      </c>
      <c r="B9" s="67"/>
      <c r="C9" s="66"/>
      <c r="D9" s="73" t="s">
        <v>94</v>
      </c>
      <c r="E9" s="23">
        <v>5100000</v>
      </c>
      <c r="F9" s="23">
        <v>4130000</v>
      </c>
      <c r="G9" s="74"/>
      <c r="H9" s="115">
        <v>1096</v>
      </c>
      <c r="I9" s="115">
        <v>1225</v>
      </c>
      <c r="J9" s="23">
        <v>4000</v>
      </c>
      <c r="K9" s="113">
        <f t="shared" si="0"/>
        <v>516000</v>
      </c>
      <c r="L9" s="115">
        <v>100000</v>
      </c>
      <c r="M9" s="115">
        <f t="shared" si="1"/>
        <v>0</v>
      </c>
      <c r="N9" s="23"/>
      <c r="O9" s="23"/>
      <c r="P9" s="23"/>
      <c r="Q9" s="115">
        <f t="shared" ref="Q9:Q10" si="4">F9+K9+M9+P9+O9</f>
        <v>4646000</v>
      </c>
      <c r="R9" s="21"/>
      <c r="S9" s="118">
        <f t="shared" si="2"/>
        <v>4646000</v>
      </c>
      <c r="T9" s="121"/>
    </row>
    <row r="10" spans="1:20" ht="13.8">
      <c r="A10" s="120"/>
      <c r="B10" s="67"/>
      <c r="C10" s="66"/>
      <c r="D10" s="73"/>
      <c r="E10" s="23"/>
      <c r="F10" s="23"/>
      <c r="G10" s="74"/>
      <c r="H10" s="115"/>
      <c r="I10" s="115"/>
      <c r="J10" s="23"/>
      <c r="K10" s="113">
        <f t="shared" si="0"/>
        <v>0</v>
      </c>
      <c r="L10" s="115"/>
      <c r="M10" s="115">
        <f t="shared" si="1"/>
        <v>0</v>
      </c>
      <c r="N10" s="23"/>
      <c r="O10" s="23"/>
      <c r="P10" s="23"/>
      <c r="Q10" s="115">
        <f t="shared" si="4"/>
        <v>0</v>
      </c>
      <c r="R10" s="21"/>
      <c r="S10" s="122">
        <f t="shared" si="2"/>
        <v>0</v>
      </c>
      <c r="T10" s="121"/>
    </row>
    <row r="11" spans="1:20" ht="13.8">
      <c r="A11" s="120"/>
      <c r="B11" s="67"/>
      <c r="C11" s="66"/>
      <c r="D11" s="73"/>
      <c r="E11" s="23"/>
      <c r="F11" s="23"/>
      <c r="G11" s="74"/>
      <c r="H11" s="115"/>
      <c r="I11" s="115"/>
      <c r="J11" s="23"/>
      <c r="K11" s="113">
        <f t="shared" si="0"/>
        <v>0</v>
      </c>
      <c r="L11" s="115"/>
      <c r="M11" s="115"/>
      <c r="N11" s="23"/>
      <c r="O11" s="23"/>
      <c r="P11" s="23"/>
      <c r="Q11" s="115">
        <f t="shared" ref="Q11:Q12" si="5">F11+K11+M11+O11+P11</f>
        <v>0</v>
      </c>
      <c r="R11" s="21"/>
      <c r="S11" s="122">
        <f t="shared" si="2"/>
        <v>0</v>
      </c>
      <c r="T11" s="121"/>
    </row>
    <row r="12" spans="1:20" ht="13.8">
      <c r="A12" s="120"/>
      <c r="B12" s="23"/>
      <c r="C12" s="66"/>
      <c r="D12" s="73"/>
      <c r="E12" s="23"/>
      <c r="F12" s="23"/>
      <c r="G12" s="74"/>
      <c r="H12" s="115"/>
      <c r="I12" s="115"/>
      <c r="J12" s="23"/>
      <c r="K12" s="113">
        <f t="shared" si="0"/>
        <v>0</v>
      </c>
      <c r="L12" s="115"/>
      <c r="M12" s="115"/>
      <c r="N12" s="23"/>
      <c r="O12" s="23"/>
      <c r="P12" s="23"/>
      <c r="Q12" s="115">
        <f t="shared" si="5"/>
        <v>0</v>
      </c>
      <c r="R12" s="21"/>
      <c r="S12" s="122">
        <f t="shared" si="2"/>
        <v>0</v>
      </c>
      <c r="T12" s="121"/>
    </row>
    <row r="13" spans="1:20" ht="13.8">
      <c r="A13" s="120"/>
      <c r="B13" s="23"/>
      <c r="C13" s="66"/>
      <c r="D13" s="73"/>
      <c r="E13" s="23"/>
      <c r="F13" s="23"/>
      <c r="G13" s="74"/>
      <c r="H13" s="115"/>
      <c r="I13" s="115"/>
      <c r="J13" s="23"/>
      <c r="K13" s="113">
        <f t="shared" si="0"/>
        <v>0</v>
      </c>
      <c r="L13" s="115"/>
      <c r="M13" s="115"/>
      <c r="N13" s="23"/>
      <c r="O13" s="23"/>
      <c r="P13" s="23"/>
      <c r="Q13" s="115">
        <f>K13+M13+O13+P13+F13</f>
        <v>0</v>
      </c>
      <c r="R13" s="21"/>
      <c r="S13" s="122">
        <f t="shared" si="2"/>
        <v>0</v>
      </c>
      <c r="T13" s="121"/>
    </row>
    <row r="14" spans="1:20" ht="13.8">
      <c r="A14" s="123"/>
      <c r="B14" s="124"/>
      <c r="C14" s="124"/>
      <c r="D14" s="125"/>
      <c r="E14" s="124"/>
      <c r="F14" s="124"/>
      <c r="G14" s="126"/>
      <c r="H14" s="127"/>
      <c r="I14" s="127"/>
      <c r="J14" s="124"/>
      <c r="K14" s="127"/>
      <c r="L14" s="127"/>
      <c r="M14" s="124"/>
      <c r="N14" s="124"/>
      <c r="O14" s="124"/>
      <c r="P14" s="124"/>
      <c r="Q14" s="127"/>
      <c r="R14" s="127"/>
      <c r="S14" s="124"/>
      <c r="T14" s="128"/>
    </row>
    <row r="15" spans="1:20" ht="16.8">
      <c r="A15" s="129"/>
      <c r="B15" s="130" t="s">
        <v>79</v>
      </c>
      <c r="C15" s="130"/>
      <c r="D15" s="131"/>
      <c r="E15" s="132">
        <f t="shared" ref="E15:G15" si="6">SUM(E5:E14)</f>
        <v>28100000</v>
      </c>
      <c r="F15" s="132">
        <f t="shared" si="6"/>
        <v>25130000</v>
      </c>
      <c r="G15" s="133">
        <f t="shared" si="6"/>
        <v>9</v>
      </c>
      <c r="H15" s="132"/>
      <c r="I15" s="132"/>
      <c r="J15" s="132"/>
      <c r="K15" s="132">
        <f>SUM(K5:K13)</f>
        <v>3688000</v>
      </c>
      <c r="L15" s="132"/>
      <c r="M15" s="132">
        <f t="shared" ref="M15:P15" si="7">SUM(M5:M14)</f>
        <v>900000</v>
      </c>
      <c r="N15" s="134">
        <f t="shared" si="7"/>
        <v>0</v>
      </c>
      <c r="O15" s="134">
        <f t="shared" si="7"/>
        <v>200000</v>
      </c>
      <c r="P15" s="132">
        <f t="shared" si="7"/>
        <v>850000</v>
      </c>
      <c r="Q15" s="132">
        <f>SUM(Q5:Q13)</f>
        <v>30768000</v>
      </c>
      <c r="R15" s="132">
        <f>SUM(R5:R12)</f>
        <v>0</v>
      </c>
      <c r="S15" s="134">
        <f>SUM(S5:S13)</f>
        <v>30768000</v>
      </c>
      <c r="T15" s="135"/>
    </row>
    <row r="19" spans="1:5" ht="13.8">
      <c r="A19" s="176" t="s">
        <v>39</v>
      </c>
      <c r="B19" s="177"/>
      <c r="C19" s="177"/>
      <c r="D19" s="177"/>
      <c r="E19" s="178"/>
    </row>
    <row r="20" spans="1:5" ht="13.8">
      <c r="A20" s="179"/>
      <c r="B20" s="180"/>
      <c r="C20" s="180"/>
      <c r="D20" s="180"/>
      <c r="E20" s="181"/>
    </row>
    <row r="21" spans="1:5" ht="15.75" customHeight="1">
      <c r="A21" s="182" t="s">
        <v>40</v>
      </c>
      <c r="B21" s="136" t="s">
        <v>41</v>
      </c>
      <c r="C21" s="137" t="s">
        <v>42</v>
      </c>
      <c r="D21" s="137" t="s">
        <v>43</v>
      </c>
      <c r="E21" s="138" t="s">
        <v>44</v>
      </c>
    </row>
    <row r="22" spans="1:5" ht="15.75" customHeight="1">
      <c r="A22" s="183"/>
      <c r="B22" s="139" t="s">
        <v>111</v>
      </c>
      <c r="C22" s="140">
        <f>F15</f>
        <v>25130000</v>
      </c>
      <c r="D22" s="140">
        <v>15000000</v>
      </c>
      <c r="E22" s="141">
        <f t="shared" ref="E22:E27" si="8">C22-D22</f>
        <v>10130000</v>
      </c>
    </row>
    <row r="23" spans="1:5" ht="15.75" customHeight="1">
      <c r="A23" s="183"/>
      <c r="B23" s="142" t="s">
        <v>112</v>
      </c>
      <c r="C23" s="67">
        <f>K15</f>
        <v>3688000</v>
      </c>
      <c r="D23" s="23"/>
      <c r="E23" s="143">
        <f t="shared" si="8"/>
        <v>3688000</v>
      </c>
    </row>
    <row r="24" spans="1:5" ht="15.75" customHeight="1">
      <c r="A24" s="183"/>
      <c r="B24" s="142" t="s">
        <v>113</v>
      </c>
      <c r="C24" s="67">
        <f>M15</f>
        <v>900000</v>
      </c>
      <c r="D24" s="75"/>
      <c r="E24" s="143">
        <f t="shared" si="8"/>
        <v>900000</v>
      </c>
    </row>
    <row r="25" spans="1:5" ht="15.75" customHeight="1">
      <c r="A25" s="183"/>
      <c r="B25" s="142" t="s">
        <v>114</v>
      </c>
      <c r="C25" s="67">
        <f>P15</f>
        <v>850000</v>
      </c>
      <c r="D25" s="23">
        <v>500000</v>
      </c>
      <c r="E25" s="143">
        <f t="shared" si="8"/>
        <v>350000</v>
      </c>
    </row>
    <row r="26" spans="1:5" ht="15.75" customHeight="1">
      <c r="A26" s="183"/>
      <c r="B26" s="142" t="s">
        <v>115</v>
      </c>
      <c r="C26" s="67">
        <f>N17</f>
        <v>0</v>
      </c>
      <c r="D26" s="67">
        <v>500000</v>
      </c>
      <c r="E26" s="143">
        <f t="shared" si="8"/>
        <v>-500000</v>
      </c>
    </row>
    <row r="27" spans="1:5" ht="15.75" customHeight="1">
      <c r="A27" s="172"/>
      <c r="B27" s="144" t="s">
        <v>52</v>
      </c>
      <c r="C27" s="145">
        <f>O15</f>
        <v>200000</v>
      </c>
      <c r="D27" s="146"/>
      <c r="E27" s="147">
        <f t="shared" si="8"/>
        <v>200000</v>
      </c>
    </row>
    <row r="28" spans="1:5" ht="15.75" customHeight="1">
      <c r="A28" s="148"/>
      <c r="B28" s="149" t="s">
        <v>57</v>
      </c>
      <c r="C28" s="150">
        <f>SUM(C22:C27)</f>
        <v>30768000</v>
      </c>
      <c r="D28" s="91"/>
      <c r="E28" s="151"/>
    </row>
    <row r="29" spans="1:5" ht="15.75" customHeight="1">
      <c r="A29" s="148"/>
      <c r="B29" s="91"/>
      <c r="C29" s="91"/>
      <c r="D29" s="184" t="s">
        <v>116</v>
      </c>
      <c r="E29" s="185">
        <f>E22+E23+E24+E25+E26+E27</f>
        <v>14768000</v>
      </c>
    </row>
    <row r="30" spans="1:5" ht="15.75" customHeight="1">
      <c r="A30" s="148"/>
      <c r="B30" s="91"/>
      <c r="C30" s="91"/>
      <c r="D30" s="172"/>
      <c r="E30" s="172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N2025.T12</vt:lpstr>
      <vt:lpstr> N2025.T11</vt:lpstr>
      <vt:lpstr>N2025.T10</vt:lpstr>
      <vt:lpstr>N2025.T09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</cp:lastModifiedBy>
  <dcterms:modified xsi:type="dcterms:W3CDTF">2025-12-15T02:37:29Z</dcterms:modified>
</cp:coreProperties>
</file>