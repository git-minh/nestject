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BUSINESS\HỢP TÁC DỰ ÁN FIVICO\6. PHÒNG TRỌ, CHDV\[K7] 14-21-2 PHẠM HÙNG, BÌNH CHÁNH\"/>
    </mc:Choice>
  </mc:AlternateContent>
  <bookViews>
    <workbookView xWindow="0" yWindow="0" windowWidth="23040" windowHeight="9252"/>
  </bookViews>
  <sheets>
    <sheet name="N2025.T12" sheetId="1" r:id="rId1"/>
    <sheet name=" N2025.T11" sheetId="2" r:id="rId2"/>
    <sheet name="N2025.T10" sheetId="3" r:id="rId3"/>
    <sheet name="N2025.T09" sheetId="4" r:id="rId4"/>
  </sheets>
  <calcPr calcId="152511"/>
</workbook>
</file>

<file path=xl/calcChain.xml><?xml version="1.0" encoding="utf-8"?>
<calcChain xmlns="http://schemas.openxmlformats.org/spreadsheetml/2006/main">
  <c r="D29" i="4" l="1"/>
  <c r="C27" i="4"/>
  <c r="E27" i="4" s="1"/>
  <c r="E26" i="4"/>
  <c r="E25" i="4"/>
  <c r="E24" i="4"/>
  <c r="R16" i="4"/>
  <c r="P16" i="4"/>
  <c r="O16" i="4"/>
  <c r="C28" i="4" s="1"/>
  <c r="E28" i="4" s="1"/>
  <c r="N16" i="4"/>
  <c r="M16" i="4"/>
  <c r="C23" i="4" s="1"/>
  <c r="E23" i="4" s="1"/>
  <c r="G16" i="4"/>
  <c r="F16" i="4"/>
  <c r="C21" i="4" s="1"/>
  <c r="E16" i="4"/>
  <c r="M15" i="4"/>
  <c r="K15" i="4"/>
  <c r="Q15" i="4" s="1"/>
  <c r="S15" i="4" s="1"/>
  <c r="M14" i="4"/>
  <c r="K14" i="4"/>
  <c r="Q14" i="4" s="1"/>
  <c r="S14" i="4" s="1"/>
  <c r="M13" i="4"/>
  <c r="K13" i="4"/>
  <c r="Q13" i="4" s="1"/>
  <c r="S13" i="4" s="1"/>
  <c r="M12" i="4"/>
  <c r="K12" i="4"/>
  <c r="Q12" i="4" s="1"/>
  <c r="S12" i="4" s="1"/>
  <c r="M11" i="4"/>
  <c r="K11" i="4"/>
  <c r="Q11" i="4" s="1"/>
  <c r="S11" i="4" s="1"/>
  <c r="M10" i="4"/>
  <c r="K10" i="4"/>
  <c r="Q10" i="4" s="1"/>
  <c r="S10" i="4" s="1"/>
  <c r="M9" i="4"/>
  <c r="K9" i="4"/>
  <c r="Q9" i="4" s="1"/>
  <c r="S9" i="4" s="1"/>
  <c r="M8" i="4"/>
  <c r="K8" i="4"/>
  <c r="Q8" i="4" s="1"/>
  <c r="S8" i="4" s="1"/>
  <c r="M7" i="4"/>
  <c r="K7" i="4"/>
  <c r="Q7" i="4" s="1"/>
  <c r="S7" i="4" s="1"/>
  <c r="M6" i="4"/>
  <c r="K6" i="4"/>
  <c r="Q6" i="4" s="1"/>
  <c r="S6" i="4" s="1"/>
  <c r="M5" i="4"/>
  <c r="K5" i="4"/>
  <c r="K16" i="4" s="1"/>
  <c r="C22" i="4" s="1"/>
  <c r="E22" i="4" s="1"/>
  <c r="D29" i="3"/>
  <c r="E28" i="3"/>
  <c r="C27" i="3"/>
  <c r="E27" i="3" s="1"/>
  <c r="E26" i="3"/>
  <c r="E25" i="3"/>
  <c r="E24" i="3"/>
  <c r="A19" i="3"/>
  <c r="R16" i="3"/>
  <c r="P16" i="3"/>
  <c r="O16" i="3"/>
  <c r="N16" i="3"/>
  <c r="K16" i="3"/>
  <c r="C22" i="3" s="1"/>
  <c r="E22" i="3" s="1"/>
  <c r="G16" i="3"/>
  <c r="F16" i="3"/>
  <c r="C21" i="3" s="1"/>
  <c r="E16" i="3"/>
  <c r="M15" i="3"/>
  <c r="K15" i="3"/>
  <c r="Q15" i="3" s="1"/>
  <c r="S15" i="3" s="1"/>
  <c r="M14" i="3"/>
  <c r="K14" i="3"/>
  <c r="Q14" i="3" s="1"/>
  <c r="S14" i="3" s="1"/>
  <c r="M13" i="3"/>
  <c r="K13" i="3"/>
  <c r="Q13" i="3" s="1"/>
  <c r="S13" i="3" s="1"/>
  <c r="M12" i="3"/>
  <c r="K12" i="3"/>
  <c r="Q12" i="3" s="1"/>
  <c r="S12" i="3" s="1"/>
  <c r="M11" i="3"/>
  <c r="K11" i="3"/>
  <c r="Q11" i="3" s="1"/>
  <c r="S11" i="3" s="1"/>
  <c r="M10" i="3"/>
  <c r="K10" i="3"/>
  <c r="Q10" i="3" s="1"/>
  <c r="S10" i="3" s="1"/>
  <c r="M9" i="3"/>
  <c r="K9" i="3"/>
  <c r="Q9" i="3" s="1"/>
  <c r="S9" i="3" s="1"/>
  <c r="M8" i="3"/>
  <c r="K8" i="3"/>
  <c r="Q8" i="3" s="1"/>
  <c r="S8" i="3" s="1"/>
  <c r="M7" i="3"/>
  <c r="K7" i="3"/>
  <c r="Q7" i="3" s="1"/>
  <c r="S7" i="3" s="1"/>
  <c r="M6" i="3"/>
  <c r="K6" i="3"/>
  <c r="Q6" i="3" s="1"/>
  <c r="S6" i="3" s="1"/>
  <c r="M5" i="3"/>
  <c r="M16" i="3" s="1"/>
  <c r="C23" i="3" s="1"/>
  <c r="E23" i="3" s="1"/>
  <c r="K5" i="3"/>
  <c r="Q5" i="3" s="1"/>
  <c r="D29" i="2"/>
  <c r="C28" i="2"/>
  <c r="E28" i="2" s="1"/>
  <c r="C27" i="2"/>
  <c r="E27" i="2" s="1"/>
  <c r="E26" i="2"/>
  <c r="E25" i="2"/>
  <c r="E24" i="2"/>
  <c r="A19" i="2"/>
  <c r="P16" i="2"/>
  <c r="M16" i="2"/>
  <c r="C23" i="2" s="1"/>
  <c r="E23" i="2" s="1"/>
  <c r="G16" i="2"/>
  <c r="F16" i="2"/>
  <c r="C21" i="2" s="1"/>
  <c r="E16" i="2"/>
  <c r="M15" i="2"/>
  <c r="K15" i="2"/>
  <c r="Q15" i="2" s="1"/>
  <c r="S15" i="2" s="1"/>
  <c r="M14" i="2"/>
  <c r="K14" i="2"/>
  <c r="Q14" i="2" s="1"/>
  <c r="S14" i="2" s="1"/>
  <c r="M13" i="2"/>
  <c r="K13" i="2"/>
  <c r="Q13" i="2" s="1"/>
  <c r="S13" i="2" s="1"/>
  <c r="M12" i="2"/>
  <c r="K12" i="2"/>
  <c r="Q12" i="2" s="1"/>
  <c r="S12" i="2" s="1"/>
  <c r="M11" i="2"/>
  <c r="K11" i="2"/>
  <c r="Q11" i="2" s="1"/>
  <c r="S11" i="2" s="1"/>
  <c r="M10" i="2"/>
  <c r="K10" i="2"/>
  <c r="Q10" i="2" s="1"/>
  <c r="S10" i="2" s="1"/>
  <c r="M9" i="2"/>
  <c r="K9" i="2"/>
  <c r="Q9" i="2" s="1"/>
  <c r="S9" i="2" s="1"/>
  <c r="M8" i="2"/>
  <c r="K8" i="2"/>
  <c r="Q8" i="2" s="1"/>
  <c r="S8" i="2" s="1"/>
  <c r="M7" i="2"/>
  <c r="K7" i="2"/>
  <c r="Q7" i="2" s="1"/>
  <c r="S7" i="2" s="1"/>
  <c r="M6" i="2"/>
  <c r="K6" i="2"/>
  <c r="Q6" i="2" s="1"/>
  <c r="S6" i="2" s="1"/>
  <c r="M5" i="2"/>
  <c r="K5" i="2"/>
  <c r="K16" i="2" s="1"/>
  <c r="C22" i="2" s="1"/>
  <c r="E22" i="2" s="1"/>
  <c r="C28" i="1"/>
  <c r="E28" i="1" s="1"/>
  <c r="E26" i="1"/>
  <c r="E25" i="1"/>
  <c r="D25" i="1"/>
  <c r="D29" i="1" s="1"/>
  <c r="E24" i="1"/>
  <c r="A19" i="1"/>
  <c r="P16" i="1"/>
  <c r="C27" i="1" s="1"/>
  <c r="E27" i="1" s="1"/>
  <c r="G16" i="1"/>
  <c r="F16" i="1"/>
  <c r="C21" i="1" s="1"/>
  <c r="E16" i="1"/>
  <c r="M15" i="1"/>
  <c r="K15" i="1"/>
  <c r="Q15" i="1" s="1"/>
  <c r="S15" i="1" s="1"/>
  <c r="M14" i="1"/>
  <c r="K14" i="1"/>
  <c r="Q14" i="1" s="1"/>
  <c r="S14" i="1" s="1"/>
  <c r="M13" i="1"/>
  <c r="K13" i="1"/>
  <c r="Q13" i="1" s="1"/>
  <c r="S13" i="1" s="1"/>
  <c r="M12" i="1"/>
  <c r="K12" i="1"/>
  <c r="Q12" i="1" s="1"/>
  <c r="S12" i="1" s="1"/>
  <c r="M11" i="1"/>
  <c r="K11" i="1"/>
  <c r="Q11" i="1" s="1"/>
  <c r="S11" i="1" s="1"/>
  <c r="M10" i="1"/>
  <c r="K10" i="1"/>
  <c r="Q10" i="1" s="1"/>
  <c r="S10" i="1" s="1"/>
  <c r="M9" i="1"/>
  <c r="K9" i="1"/>
  <c r="Q9" i="1" s="1"/>
  <c r="S9" i="1" s="1"/>
  <c r="M8" i="1"/>
  <c r="K8" i="1"/>
  <c r="Q8" i="1" s="1"/>
  <c r="S8" i="1" s="1"/>
  <c r="M7" i="1"/>
  <c r="K7" i="1"/>
  <c r="Q7" i="1" s="1"/>
  <c r="S7" i="1" s="1"/>
  <c r="M6" i="1"/>
  <c r="K6" i="1"/>
  <c r="Q6" i="1" s="1"/>
  <c r="S6" i="1" s="1"/>
  <c r="M5" i="1"/>
  <c r="M16" i="1" s="1"/>
  <c r="C23" i="1" s="1"/>
  <c r="E23" i="1" s="1"/>
  <c r="K5" i="1"/>
  <c r="K16" i="1" s="1"/>
  <c r="C22" i="1" s="1"/>
  <c r="E22" i="1" s="1"/>
  <c r="Q16" i="3" l="1"/>
  <c r="S5" i="3"/>
  <c r="S16" i="3" s="1"/>
  <c r="C29" i="4"/>
  <c r="E29" i="4" s="1"/>
  <c r="E32" i="4" s="1"/>
  <c r="E21" i="4"/>
  <c r="C29" i="1"/>
  <c r="E21" i="1"/>
  <c r="E29" i="1" s="1"/>
  <c r="C29" i="2"/>
  <c r="E21" i="2"/>
  <c r="E29" i="2" s="1"/>
  <c r="C29" i="3"/>
  <c r="E21" i="3"/>
  <c r="E29" i="3" s="1"/>
  <c r="Q5" i="1"/>
  <c r="Q5" i="2"/>
  <c r="Q5" i="4"/>
  <c r="S5" i="2" l="1"/>
  <c r="S16" i="2" s="1"/>
  <c r="Q16" i="2"/>
  <c r="E32" i="2"/>
  <c r="F29" i="2"/>
  <c r="S5" i="1"/>
  <c r="Q16" i="1"/>
  <c r="E32" i="3"/>
  <c r="F29" i="3"/>
  <c r="E32" i="1"/>
  <c r="F29" i="1"/>
  <c r="S5" i="4"/>
  <c r="S16" i="4" s="1"/>
  <c r="Q16" i="4"/>
  <c r="E36" i="1" l="1"/>
  <c r="S16" i="1"/>
</calcChain>
</file>

<file path=xl/comments1.xml><?xml version="1.0" encoding="utf-8"?>
<comments xmlns="http://schemas.openxmlformats.org/spreadsheetml/2006/main">
  <authors>
    <author/>
  </authors>
  <commentList>
    <comment ref="D25" authorId="0" shapeId="0">
      <text>
        <r>
          <rPr>
            <sz val="11"/>
            <color theme="1"/>
            <rFont val="Arial"/>
            <scheme val="minor"/>
          </rPr>
          <t>Sửa máy giặt 600k
Thay máy bơm 1tr1
	-Hiệp Nguyễn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14" authorId="0" shapeId="0">
      <text>
        <r>
          <rPr>
            <sz val="11"/>
            <color theme="1"/>
            <rFont val="Arial"/>
            <scheme val="minor"/>
          </rPr>
          <t>Trước ở 2 người, giờ còn 1 người nên trừ 100k tiền nước
	-Hiệp Nguyễn</t>
        </r>
      </text>
    </comment>
  </commentList>
</comments>
</file>

<file path=xl/sharedStrings.xml><?xml version="1.0" encoding="utf-8"?>
<sst xmlns="http://schemas.openxmlformats.org/spreadsheetml/2006/main" count="362" uniqueCount="137">
  <si>
    <t>K7: 14-21-2 PHẠM HÙNG, BÌNH CHÁNH</t>
  </si>
  <si>
    <t xml:space="preserve">PHÒNG </t>
  </si>
  <si>
    <t>TÊN</t>
  </si>
  <si>
    <t>SỐ ĐIỆN THOẠI</t>
  </si>
  <si>
    <t>THỜI HẠN HỢP ĐỒNG</t>
  </si>
  <si>
    <t>TIỀN CỌC</t>
  </si>
  <si>
    <t>GIÁ THUÊ PHÒNG</t>
  </si>
  <si>
    <t>SỐ NGƯỜI Ở</t>
  </si>
  <si>
    <t xml:space="preserve">ĐIỆN </t>
  </si>
  <si>
    <t>NƯỚC</t>
  </si>
  <si>
    <t>WIFI</t>
  </si>
  <si>
    <t>GIỮ XE</t>
  </si>
  <si>
    <t>DỊCH VỤ</t>
  </si>
  <si>
    <t>TỔNG THU</t>
  </si>
  <si>
    <t>HỖ TRỢ</t>
  </si>
  <si>
    <t>THỰC THU</t>
  </si>
  <si>
    <t>THỰC THU
(ĐIỀU CHỈNH)</t>
  </si>
  <si>
    <t>GHI CHÚ</t>
  </si>
  <si>
    <t>SỐ
CŨ</t>
  </si>
  <si>
    <t>SỐ MỚI</t>
  </si>
  <si>
    <t>ĐƠN GIÁ/ 1kWh</t>
  </si>
  <si>
    <t>THÀNH TIỀN</t>
  </si>
  <si>
    <t>ĐƠN GIÁ/ 1N</t>
  </si>
  <si>
    <t>T01</t>
  </si>
  <si>
    <t>Trần Ngọc Duyên Thư</t>
  </si>
  <si>
    <t>1/8/2025 - 1/2/2026</t>
  </si>
  <si>
    <t>Tiền nhà 5 tây hằng tháng
Anh Là thu TM</t>
  </si>
  <si>
    <t>T02</t>
  </si>
  <si>
    <t>Lê Thị Thanh Xuân</t>
  </si>
  <si>
    <t>1/7/2025 - 1/7/2026</t>
  </si>
  <si>
    <t>Đã nhận ck 02/12</t>
  </si>
  <si>
    <t>T03</t>
  </si>
  <si>
    <t>Phan Minh Hiếu</t>
  </si>
  <si>
    <t>Đã nhận ck 07/12</t>
  </si>
  <si>
    <t>T04</t>
  </si>
  <si>
    <t>Đào Quang Duy</t>
  </si>
  <si>
    <t>1/8/2024 - 1/8/2025</t>
  </si>
  <si>
    <t>Đã nhận ck 01/12</t>
  </si>
  <si>
    <t>T05</t>
  </si>
  <si>
    <t>Huỳnh Thị Hồng Hoa</t>
  </si>
  <si>
    <t>1/4/2025 - 1/4/2026</t>
  </si>
  <si>
    <t>Đã nhận ck 03/12
Thực nhận 2,000,000
Đã nhận ck 04/12
Thực nhận 2,340,000
Còn lại anh Là thu TM</t>
  </si>
  <si>
    <t>Trần Văn Tính</t>
  </si>
  <si>
    <t>1/8/2025 - 1/8/2026</t>
  </si>
  <si>
    <t>Bùi Thị Ngọc Quỳnh</t>
  </si>
  <si>
    <t>Tiền cọc 3.2 triệu
Đã nhận ck 03/12</t>
  </si>
  <si>
    <t>Đặng Thị Thùy</t>
  </si>
  <si>
    <t>Ngô Thanh Hồ</t>
  </si>
  <si>
    <t>Đã nhận ck 03/12</t>
  </si>
  <si>
    <t>Nguyễn Thị Kiều Ngân</t>
  </si>
  <si>
    <t>1/9/2025 - 1/9/2026</t>
  </si>
  <si>
    <t>Đã nhận ck 05/12</t>
  </si>
  <si>
    <t>Trần Việt Dũng</t>
  </si>
  <si>
    <t>Đã nhận ck 08/12</t>
  </si>
  <si>
    <t>BÁO CÁO TÀI CHÍNH TRONG THÁNG</t>
  </si>
  <si>
    <t>CHI PHÍ MẶC ĐỊNH</t>
  </si>
  <si>
    <t>PHÂN LOẠI</t>
  </si>
  <si>
    <t>DOANH THU</t>
  </si>
  <si>
    <t>CHI PHÍ</t>
  </si>
  <si>
    <t>LỢI NHUẬN</t>
  </si>
  <si>
    <t>Thuê nhà
(Nguyễn Minh Nguyệt
8007041045900 BVBank)</t>
  </si>
  <si>
    <t>Đã tt 05/12</t>
  </si>
  <si>
    <t>Điện HCMC
(Nguyễn Thị Thu
PE15000104577)</t>
  </si>
  <si>
    <t>Đã tt 8/12</t>
  </si>
  <si>
    <t>Nước (53/000043)
(Phạm Hoàng Giang
19829999 Eximbank)</t>
  </si>
  <si>
    <t>Đã tt 11/12</t>
  </si>
  <si>
    <t>Internet Viettel
(t008_gftth_huynq1043)</t>
  </si>
  <si>
    <t>Thu khác/ Điều chỉnh</t>
  </si>
  <si>
    <t>Chi phí quản lý</t>
  </si>
  <si>
    <t>Dịch vụ vệ sinh</t>
  </si>
  <si>
    <t>Công an</t>
  </si>
  <si>
    <t>Tổng</t>
  </si>
  <si>
    <t>VỐN SANG NHƯỢNG BAN ĐẦU</t>
  </si>
  <si>
    <t>Sửa máy giặt</t>
  </si>
  <si>
    <t>Thay máy bơm</t>
  </si>
  <si>
    <t>Hiệp chuyển a Là</t>
  </si>
  <si>
    <t>Anh Là thu TM</t>
  </si>
  <si>
    <t>Đã nhận ck 31/10</t>
  </si>
  <si>
    <t>Đã nhận ck 09/11</t>
  </si>
  <si>
    <t>Đã nhận ck 01/11</t>
  </si>
  <si>
    <t>Đã nhận ck 05/11
Thực nhận 2,396,000.
Còn lại anh Là thu TM</t>
  </si>
  <si>
    <t>Đã nhận ck 03/11</t>
  </si>
  <si>
    <t>Đã nhận ck 02/11</t>
  </si>
  <si>
    <t>Đã nhận ck 06/11</t>
  </si>
  <si>
    <r>
      <rPr>
        <sz val="11"/>
        <color theme="1"/>
        <rFont val="Times New Roman"/>
      </rPr>
      <t xml:space="preserve">Thuê nhà
</t>
    </r>
    <r>
      <rPr>
        <sz val="11"/>
        <color theme="1"/>
        <rFont val="Times New Roman"/>
      </rPr>
      <t>(Nguyễn Minh Trí
0071000878910 Vietcombank)</t>
    </r>
  </si>
  <si>
    <t>Đã tt 05/11</t>
  </si>
  <si>
    <t>Đã tt 11/11</t>
  </si>
  <si>
    <t>Đã tt 14/11
Tiền nước quá cao =&gt; kiểm tra tình hình sử dụng nước!</t>
  </si>
  <si>
    <t>K7: C1 PHẠM HÙNG, BÌNH CHÁNH</t>
  </si>
  <si>
    <t>SỐ CŨ</t>
  </si>
  <si>
    <t>ĐƠN GIÁ/1kWh</t>
  </si>
  <si>
    <t>ĐƠN GIÁ/1N</t>
  </si>
  <si>
    <t>0932.937.063</t>
  </si>
  <si>
    <t>Anh Là thu TM =&gt; đưa Hiệp 11/10</t>
  </si>
  <si>
    <t>0988.666.471</t>
  </si>
  <si>
    <t>Đã nhận ck 01/10</t>
  </si>
  <si>
    <t>0386.379.246</t>
  </si>
  <si>
    <t>Đã nhận ck 07/10</t>
  </si>
  <si>
    <t>0348.153.502</t>
  </si>
  <si>
    <t>0866.708.643</t>
  </si>
  <si>
    <r>
      <rPr>
        <sz val="11"/>
        <color rgb="FF0000FF"/>
        <rFont val="Times New Roman"/>
      </rPr>
      <t>Đã nhận ck 04/10 (2tr430).</t>
    </r>
    <r>
      <rPr>
        <sz val="11"/>
        <color rgb="FFFF0000"/>
        <rFont val="Times New Roman"/>
      </rPr>
      <t xml:space="preserve"> Anh Là thu TM 2tr430 =&gt; đưa Hiệp 11/10</t>
    </r>
  </si>
  <si>
    <t>0703.560.372</t>
  </si>
  <si>
    <t>Đã nhận ck 04/10</t>
  </si>
  <si>
    <t>0339.262.600</t>
  </si>
  <si>
    <t>Đã nhận ck 03/10</t>
  </si>
  <si>
    <t>0333.216.654</t>
  </si>
  <si>
    <t>0776.790.026</t>
  </si>
  <si>
    <t>0792.921.499</t>
  </si>
  <si>
    <t>Đã nhận ck 05/10</t>
  </si>
  <si>
    <t>0919.929.108</t>
  </si>
  <si>
    <t>Đã nhận ck 09/10</t>
  </si>
  <si>
    <t>TỔNG</t>
  </si>
  <si>
    <t>Thuê nhà
(Nguyễn Văn Bình
903307575 VIB)</t>
  </si>
  <si>
    <t>Đã tt 05/10</t>
  </si>
  <si>
    <t>Đã tt 07/10</t>
  </si>
  <si>
    <t>Đã tt 11/10</t>
  </si>
  <si>
    <t>Đã tt 15/10</t>
  </si>
  <si>
    <t>ok</t>
  </si>
  <si>
    <t>STK NHẬN THANH TOÁN</t>
  </si>
  <si>
    <t>Trần Thị Chuyên 44055527 Ngân hàng ACB</t>
  </si>
  <si>
    <t>1/8/2024 - 1/2/2025</t>
  </si>
  <si>
    <t>Anh Là nhận TM =&gt; đưa Hiệp 09/09</t>
  </si>
  <si>
    <t>Đã nhận ck 31/08</t>
  </si>
  <si>
    <t>Đã nhận ck 04/09</t>
  </si>
  <si>
    <t>Đã nhận ck 01/09</t>
  </si>
  <si>
    <t>Đã nhận ck 05/08</t>
  </si>
  <si>
    <t>Đã nhận ck 03/09</t>
  </si>
  <si>
    <t>Nguyễn Anh Thư</t>
  </si>
  <si>
    <t>0346.404.409</t>
  </si>
  <si>
    <t>Đã nhận ck 08/09</t>
  </si>
  <si>
    <t>Thuê nhà
(STK ...)</t>
  </si>
  <si>
    <t>Hiệp tt 06/09</t>
  </si>
  <si>
    <t>Điện (PE15000104577)</t>
  </si>
  <si>
    <t>Hiệp tt10/09</t>
  </si>
  <si>
    <t>Hiệp tt 12/09</t>
  </si>
  <si>
    <t>Internet</t>
  </si>
  <si>
    <t>Anh là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</si>
</sst>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#,##0\ [$đ-42A]"/>
    <numFmt numFmtId="166" formatCode="00000"/>
  </numFmts>
  <fonts count="25">
    <font>
      <sz val="11"/>
      <color theme="1"/>
      <name val="Arial"/>
      <scheme val="minor"/>
    </font>
    <font>
      <b/>
      <sz val="14"/>
      <color theme="1"/>
      <name val="Times New Roman"/>
    </font>
    <font>
      <sz val="11"/>
      <name val="Arial"/>
    </font>
    <font>
      <sz val="11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11"/>
      <color rgb="FF000000"/>
      <name val="&quot;Times New Roman&quot;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000FF"/>
      <name val="Times New Roman"/>
    </font>
    <font>
      <sz val="11"/>
      <color rgb="FF0000FF"/>
      <name val="&quot;Times New Roman&quot;"/>
    </font>
    <font>
      <sz val="11"/>
      <color rgb="FF000000"/>
      <name val="Times New Roman"/>
    </font>
    <font>
      <b/>
      <sz val="11"/>
      <color rgb="FFFF0000"/>
      <name val="Times New Roman"/>
    </font>
    <font>
      <sz val="11"/>
      <color rgb="FFFF0000"/>
      <name val="Times New Roman"/>
    </font>
    <font>
      <b/>
      <sz val="11"/>
      <color rgb="FF0000FF"/>
      <name val="Times New Roman"/>
    </font>
    <font>
      <b/>
      <sz val="11"/>
      <color theme="1"/>
      <name val="Times New Roman"/>
    </font>
    <font>
      <b/>
      <sz val="11"/>
      <color rgb="FF0000FF"/>
      <name val="Times New Roman"/>
    </font>
    <font>
      <b/>
      <sz val="11"/>
      <color rgb="FF000000"/>
      <name val="&quot;Times New Roman&quot;"/>
    </font>
    <font>
      <sz val="11"/>
      <color rgb="FFFF0000"/>
      <name val="Times New Roman"/>
    </font>
    <font>
      <sz val="11"/>
      <color rgb="FFFF0000"/>
      <name val="&quot;Times New Roman&quot;"/>
    </font>
    <font>
      <sz val="11"/>
      <color theme="1"/>
      <name val="&quot;Times New Roman&quot;"/>
    </font>
    <font>
      <b/>
      <sz val="12"/>
      <color theme="1"/>
      <name val="Times New Roman"/>
    </font>
    <font>
      <b/>
      <sz val="12"/>
      <color rgb="FFFF0000"/>
      <name val="Times New Roman"/>
    </font>
    <font>
      <sz val="11"/>
      <color theme="1"/>
      <name val="Arial"/>
    </font>
    <font>
      <sz val="11"/>
      <color rgb="FF0000FF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7C80"/>
        <bgColor rgb="FFFF7C8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3">
    <xf numFmtId="0" fontId="0" fillId="0" borderId="0" xfId="0" applyFont="1" applyAlignment="1"/>
    <xf numFmtId="0" fontId="3" fillId="0" borderId="0" xfId="0" applyFont="1"/>
    <xf numFmtId="0" fontId="5" fillId="0" borderId="0" xfId="0" applyFont="1"/>
    <xf numFmtId="164" fontId="4" fillId="3" borderId="12" xfId="0" applyNumberFormat="1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/>
    </xf>
    <xf numFmtId="0" fontId="6" fillId="0" borderId="6" xfId="0" applyFont="1" applyBorder="1" applyAlignment="1"/>
    <xf numFmtId="3" fontId="6" fillId="4" borderId="6" xfId="0" applyNumberFormat="1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3" fontId="6" fillId="4" borderId="6" xfId="0" applyNumberFormat="1" applyFont="1" applyFill="1" applyBorder="1" applyAlignment="1"/>
    <xf numFmtId="0" fontId="6" fillId="4" borderId="6" xfId="0" applyFont="1" applyFill="1" applyBorder="1" applyAlignment="1">
      <alignment horizontal="right"/>
    </xf>
    <xf numFmtId="0" fontId="6" fillId="4" borderId="6" xfId="0" applyFont="1" applyFill="1" applyBorder="1" applyAlignment="1"/>
    <xf numFmtId="164" fontId="7" fillId="4" borderId="12" xfId="0" applyNumberFormat="1" applyFont="1" applyFill="1" applyBorder="1" applyAlignment="1"/>
    <xf numFmtId="164" fontId="7" fillId="4" borderId="12" xfId="0" applyNumberFormat="1" applyFont="1" applyFill="1" applyBorder="1"/>
    <xf numFmtId="164" fontId="8" fillId="4" borderId="12" xfId="0" applyNumberFormat="1" applyFont="1" applyFill="1" applyBorder="1" applyAlignment="1"/>
    <xf numFmtId="164" fontId="7" fillId="4" borderId="12" xfId="0" applyNumberFormat="1" applyFont="1" applyFill="1" applyBorder="1" applyAlignment="1">
      <alignment horizontal="right"/>
    </xf>
    <xf numFmtId="164" fontId="9" fillId="0" borderId="12" xfId="0" applyNumberFormat="1" applyFont="1" applyBorder="1"/>
    <xf numFmtId="0" fontId="10" fillId="0" borderId="6" xfId="0" applyFont="1" applyBorder="1" applyAlignment="1"/>
    <xf numFmtId="0" fontId="6" fillId="0" borderId="12" xfId="0" applyFont="1" applyBorder="1" applyAlignment="1"/>
    <xf numFmtId="3" fontId="6" fillId="4" borderId="12" xfId="0" applyNumberFormat="1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3" fontId="6" fillId="4" borderId="12" xfId="0" applyNumberFormat="1" applyFont="1" applyFill="1" applyBorder="1" applyAlignment="1">
      <alignment horizontal="right"/>
    </xf>
    <xf numFmtId="0" fontId="6" fillId="4" borderId="12" xfId="0" applyFont="1" applyFill="1" applyBorder="1" applyAlignment="1">
      <alignment horizontal="right"/>
    </xf>
    <xf numFmtId="164" fontId="7" fillId="5" borderId="12" xfId="0" applyNumberFormat="1" applyFont="1" applyFill="1" applyBorder="1" applyAlignment="1">
      <alignment horizontal="right"/>
    </xf>
    <xf numFmtId="164" fontId="7" fillId="6" borderId="12" xfId="0" applyNumberFormat="1" applyFont="1" applyFill="1" applyBorder="1"/>
    <xf numFmtId="0" fontId="9" fillId="6" borderId="12" xfId="0" applyFont="1" applyFill="1" applyBorder="1" applyAlignment="1"/>
    <xf numFmtId="0" fontId="10" fillId="6" borderId="6" xfId="0" applyFont="1" applyFill="1" applyBorder="1" applyAlignment="1"/>
    <xf numFmtId="3" fontId="6" fillId="4" borderId="12" xfId="0" applyNumberFormat="1" applyFont="1" applyFill="1" applyBorder="1" applyAlignment="1"/>
    <xf numFmtId="164" fontId="11" fillId="6" borderId="12" xfId="0" applyNumberFormat="1" applyFont="1" applyFill="1" applyBorder="1"/>
    <xf numFmtId="0" fontId="6" fillId="6" borderId="6" xfId="0" applyFont="1" applyFill="1" applyBorder="1" applyAlignment="1"/>
    <xf numFmtId="0" fontId="10" fillId="6" borderId="6" xfId="0" applyFont="1" applyFill="1" applyBorder="1" applyAlignment="1"/>
    <xf numFmtId="0" fontId="10" fillId="6" borderId="6" xfId="0" applyFont="1" applyFill="1" applyBorder="1" applyAlignment="1">
      <alignment wrapText="1"/>
    </xf>
    <xf numFmtId="0" fontId="6" fillId="4" borderId="12" xfId="0" applyFont="1" applyFill="1" applyBorder="1" applyAlignment="1"/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/>
    <xf numFmtId="3" fontId="6" fillId="4" borderId="14" xfId="0" applyNumberFormat="1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3" fontId="6" fillId="4" borderId="14" xfId="0" applyNumberFormat="1" applyFont="1" applyFill="1" applyBorder="1" applyAlignment="1"/>
    <xf numFmtId="0" fontId="6" fillId="4" borderId="14" xfId="0" applyFont="1" applyFill="1" applyBorder="1" applyAlignment="1">
      <alignment horizontal="right"/>
    </xf>
    <xf numFmtId="0" fontId="6" fillId="6" borderId="14" xfId="0" applyFont="1" applyFill="1" applyBorder="1" applyAlignment="1"/>
    <xf numFmtId="0" fontId="6" fillId="4" borderId="7" xfId="0" applyFont="1" applyFill="1" applyBorder="1" applyAlignment="1">
      <alignment horizontal="center"/>
    </xf>
    <xf numFmtId="0" fontId="6" fillId="4" borderId="3" xfId="0" applyFont="1" applyFill="1" applyBorder="1" applyAlignment="1"/>
    <xf numFmtId="3" fontId="6" fillId="4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3" fontId="6" fillId="4" borderId="3" xfId="0" applyNumberFormat="1" applyFont="1" applyFill="1" applyBorder="1" applyAlignment="1"/>
    <xf numFmtId="0" fontId="6" fillId="4" borderId="3" xfId="0" applyFont="1" applyFill="1" applyBorder="1" applyAlignment="1">
      <alignment horizontal="right"/>
    </xf>
    <xf numFmtId="0" fontId="11" fillId="6" borderId="12" xfId="0" applyFont="1" applyFill="1" applyBorder="1" applyAlignment="1">
      <alignment horizontal="left"/>
    </xf>
    <xf numFmtId="164" fontId="8" fillId="2" borderId="12" xfId="0" applyNumberFormat="1" applyFont="1" applyFill="1" applyBorder="1"/>
    <xf numFmtId="164" fontId="12" fillId="2" borderId="12" xfId="0" applyNumberFormat="1" applyFont="1" applyFill="1" applyBorder="1"/>
    <xf numFmtId="14" fontId="8" fillId="2" borderId="12" xfId="0" applyNumberFormat="1" applyFont="1" applyFill="1" applyBorder="1"/>
    <xf numFmtId="164" fontId="8" fillId="2" borderId="12" xfId="0" applyNumberFormat="1" applyFont="1" applyFill="1" applyBorder="1" applyAlignment="1">
      <alignment horizontal="right"/>
    </xf>
    <xf numFmtId="1" fontId="8" fillId="2" borderId="12" xfId="0" applyNumberFormat="1" applyFont="1" applyFill="1" applyBorder="1"/>
    <xf numFmtId="164" fontId="8" fillId="2" borderId="12" xfId="0" applyNumberFormat="1" applyFont="1" applyFill="1" applyBorder="1" applyAlignment="1"/>
    <xf numFmtId="0" fontId="8" fillId="0" borderId="0" xfId="0" applyFont="1"/>
    <xf numFmtId="0" fontId="13" fillId="0" borderId="0" xfId="0" applyFont="1"/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/>
    </xf>
    <xf numFmtId="164" fontId="8" fillId="0" borderId="12" xfId="0" applyNumberFormat="1" applyFont="1" applyBorder="1" applyAlignment="1">
      <alignment horizontal="center"/>
    </xf>
    <xf numFmtId="164" fontId="7" fillId="6" borderId="12" xfId="0" applyNumberFormat="1" applyFont="1" applyFill="1" applyBorder="1" applyAlignment="1"/>
    <xf numFmtId="164" fontId="7" fillId="6" borderId="12" xfId="0" applyNumberFormat="1" applyFont="1" applyFill="1" applyBorder="1" applyAlignment="1">
      <alignment vertical="center"/>
    </xf>
    <xf numFmtId="164" fontId="7" fillId="6" borderId="12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6" borderId="12" xfId="0" applyFont="1" applyFill="1" applyBorder="1" applyAlignment="1"/>
    <xf numFmtId="164" fontId="11" fillId="6" borderId="12" xfId="0" applyNumberFormat="1" applyFont="1" applyFill="1" applyBorder="1" applyAlignment="1">
      <alignment vertical="center"/>
    </xf>
    <xf numFmtId="0" fontId="7" fillId="0" borderId="0" xfId="0" applyFont="1" applyAlignment="1">
      <alignment wrapText="1"/>
    </xf>
    <xf numFmtId="0" fontId="7" fillId="6" borderId="12" xfId="0" applyFont="1" applyFill="1" applyBorder="1" applyAlignment="1">
      <alignment wrapText="1"/>
    </xf>
    <xf numFmtId="0" fontId="7" fillId="6" borderId="12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7" fillId="6" borderId="12" xfId="0" applyFont="1" applyFill="1" applyBorder="1"/>
    <xf numFmtId="164" fontId="7" fillId="7" borderId="12" xfId="0" applyNumberFormat="1" applyFont="1" applyFill="1" applyBorder="1" applyAlignment="1"/>
    <xf numFmtId="164" fontId="7" fillId="7" borderId="12" xfId="0" applyNumberFormat="1" applyFont="1" applyFill="1" applyBorder="1" applyAlignment="1">
      <alignment vertical="center"/>
    </xf>
    <xf numFmtId="164" fontId="7" fillId="7" borderId="12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8" fillId="2" borderId="12" xfId="0" applyFont="1" applyFill="1" applyBorder="1"/>
    <xf numFmtId="164" fontId="8" fillId="2" borderId="12" xfId="0" applyNumberFormat="1" applyFont="1" applyFill="1" applyBorder="1" applyAlignment="1">
      <alignment vertical="center"/>
    </xf>
    <xf numFmtId="10" fontId="14" fillId="0" borderId="0" xfId="0" applyNumberFormat="1" applyFont="1" applyAlignment="1">
      <alignment vertical="center"/>
    </xf>
    <xf numFmtId="0" fontId="15" fillId="0" borderId="0" xfId="0" applyFont="1" applyAlignment="1">
      <alignment horizontal="center"/>
    </xf>
    <xf numFmtId="164" fontId="7" fillId="0" borderId="0" xfId="0" applyNumberFormat="1" applyFont="1"/>
    <xf numFmtId="10" fontId="3" fillId="0" borderId="0" xfId="0" applyNumberFormat="1" applyFont="1"/>
    <xf numFmtId="164" fontId="8" fillId="0" borderId="0" xfId="0" applyNumberFormat="1" applyFont="1"/>
    <xf numFmtId="10" fontId="16" fillId="0" borderId="0" xfId="0" applyNumberFormat="1" applyFont="1"/>
    <xf numFmtId="0" fontId="17" fillId="5" borderId="0" xfId="0" applyFont="1" applyFill="1" applyAlignment="1">
      <alignment horizontal="center"/>
    </xf>
    <xf numFmtId="164" fontId="17" fillId="5" borderId="0" xfId="0" applyNumberFormat="1" applyFont="1" applyFill="1" applyAlignment="1">
      <alignment horizontal="center"/>
    </xf>
    <xf numFmtId="165" fontId="7" fillId="0" borderId="0" xfId="0" applyNumberFormat="1" applyFont="1" applyAlignment="1">
      <alignment horizontal="right"/>
    </xf>
    <xf numFmtId="0" fontId="3" fillId="0" borderId="0" xfId="0" applyFont="1" applyAlignment="1"/>
    <xf numFmtId="165" fontId="18" fillId="0" borderId="0" xfId="0" applyNumberFormat="1" applyFont="1" applyAlignment="1">
      <alignment horizontal="right"/>
    </xf>
    <xf numFmtId="0" fontId="18" fillId="0" borderId="0" xfId="0" applyFont="1" applyAlignment="1"/>
    <xf numFmtId="164" fontId="18" fillId="0" borderId="12" xfId="0" applyNumberFormat="1" applyFont="1" applyBorder="1"/>
    <xf numFmtId="0" fontId="19" fillId="4" borderId="6" xfId="0" applyFont="1" applyFill="1" applyBorder="1" applyAlignment="1"/>
    <xf numFmtId="0" fontId="20" fillId="6" borderId="6" xfId="0" applyFont="1" applyFill="1" applyBorder="1" applyAlignment="1"/>
    <xf numFmtId="0" fontId="19" fillId="0" borderId="6" xfId="0" applyFont="1" applyBorder="1" applyAlignment="1"/>
    <xf numFmtId="0" fontId="19" fillId="0" borderId="6" xfId="0" applyFont="1" applyBorder="1" applyAlignment="1"/>
    <xf numFmtId="0" fontId="6" fillId="4" borderId="11" xfId="0" applyFont="1" applyFill="1" applyBorder="1" applyAlignment="1"/>
    <xf numFmtId="0" fontId="6" fillId="4" borderId="13" xfId="0" applyFont="1" applyFill="1" applyBorder="1" applyAlignment="1"/>
    <xf numFmtId="0" fontId="6" fillId="4" borderId="7" xfId="0" applyFont="1" applyFill="1" applyBorder="1" applyAlignment="1"/>
    <xf numFmtId="0" fontId="7" fillId="6" borderId="12" xfId="0" applyFont="1" applyFill="1" applyBorder="1" applyAlignment="1">
      <alignment horizontal="left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7" fillId="0" borderId="0" xfId="0" applyFont="1"/>
    <xf numFmtId="164" fontId="4" fillId="3" borderId="12" xfId="0" applyNumberFormat="1" applyFont="1" applyFill="1" applyBorder="1" applyAlignment="1">
      <alignment horizontal="center" vertical="center"/>
    </xf>
    <xf numFmtId="164" fontId="7" fillId="5" borderId="12" xfId="0" applyNumberFormat="1" applyFont="1" applyFill="1" applyBorder="1" applyAlignment="1">
      <alignment horizontal="center"/>
    </xf>
    <xf numFmtId="164" fontId="7" fillId="0" borderId="12" xfId="0" applyNumberFormat="1" applyFont="1" applyBorder="1"/>
    <xf numFmtId="164" fontId="7" fillId="4" borderId="12" xfId="0" applyNumberFormat="1" applyFont="1" applyFill="1" applyBorder="1" applyAlignment="1">
      <alignment horizontal="center"/>
    </xf>
    <xf numFmtId="14" fontId="7" fillId="4" borderId="12" xfId="0" applyNumberFormat="1" applyFont="1" applyFill="1" applyBorder="1" applyAlignment="1">
      <alignment horizontal="center"/>
    </xf>
    <xf numFmtId="1" fontId="7" fillId="4" borderId="12" xfId="0" applyNumberFormat="1" applyFont="1" applyFill="1" applyBorder="1"/>
    <xf numFmtId="164" fontId="18" fillId="5" borderId="12" xfId="0" applyNumberFormat="1" applyFont="1" applyFill="1" applyBorder="1"/>
    <xf numFmtId="164" fontId="7" fillId="5" borderId="12" xfId="0" applyNumberFormat="1" applyFont="1" applyFill="1" applyBorder="1"/>
    <xf numFmtId="0" fontId="18" fillId="4" borderId="12" xfId="0" applyFont="1" applyFill="1" applyBorder="1" applyAlignment="1"/>
    <xf numFmtId="166" fontId="7" fillId="5" borderId="12" xfId="0" applyNumberFormat="1" applyFont="1" applyFill="1" applyBorder="1" applyAlignment="1">
      <alignment horizontal="center"/>
    </xf>
    <xf numFmtId="14" fontId="7" fillId="5" borderId="12" xfId="0" applyNumberFormat="1" applyFont="1" applyFill="1" applyBorder="1" applyAlignment="1">
      <alignment horizontal="center"/>
    </xf>
    <xf numFmtId="1" fontId="7" fillId="5" borderId="12" xfId="0" applyNumberFormat="1" applyFont="1" applyFill="1" applyBorder="1"/>
    <xf numFmtId="0" fontId="9" fillId="0" borderId="12" xfId="0" applyFont="1" applyBorder="1"/>
    <xf numFmtId="164" fontId="9" fillId="5" borderId="12" xfId="0" applyNumberFormat="1" applyFont="1" applyFill="1" applyBorder="1"/>
    <xf numFmtId="0" fontId="9" fillId="0" borderId="12" xfId="0" applyFont="1" applyBorder="1" applyAlignment="1"/>
    <xf numFmtId="0" fontId="18" fillId="5" borderId="12" xfId="0" applyFont="1" applyFill="1" applyBorder="1" applyAlignment="1"/>
    <xf numFmtId="0" fontId="9" fillId="5" borderId="12" xfId="0" applyFont="1" applyFill="1" applyBorder="1" applyAlignment="1"/>
    <xf numFmtId="1" fontId="7" fillId="5" borderId="12" xfId="0" applyNumberFormat="1" applyFont="1" applyFill="1" applyBorder="1" applyAlignment="1"/>
    <xf numFmtId="164" fontId="21" fillId="2" borderId="12" xfId="0" applyNumberFormat="1" applyFont="1" applyFill="1" applyBorder="1"/>
    <xf numFmtId="164" fontId="22" fillId="2" borderId="12" xfId="0" applyNumberFormat="1" applyFont="1" applyFill="1" applyBorder="1"/>
    <xf numFmtId="14" fontId="21" fillId="2" borderId="12" xfId="0" applyNumberFormat="1" applyFont="1" applyFill="1" applyBorder="1"/>
    <xf numFmtId="164" fontId="21" fillId="2" borderId="12" xfId="0" applyNumberFormat="1" applyFont="1" applyFill="1" applyBorder="1" applyAlignment="1">
      <alignment horizontal="right"/>
    </xf>
    <xf numFmtId="1" fontId="21" fillId="2" borderId="12" xfId="0" applyNumberFormat="1" applyFont="1" applyFill="1" applyBorder="1"/>
    <xf numFmtId="0" fontId="7" fillId="0" borderId="0" xfId="0" applyFont="1" applyAlignment="1">
      <alignment vertical="center"/>
    </xf>
    <xf numFmtId="0" fontId="7" fillId="7" borderId="12" xfId="0" applyFont="1" applyFill="1" applyBorder="1"/>
    <xf numFmtId="0" fontId="7" fillId="0" borderId="12" xfId="0" applyFont="1" applyBorder="1"/>
    <xf numFmtId="10" fontId="14" fillId="0" borderId="0" xfId="0" applyNumberFormat="1" applyFont="1"/>
    <xf numFmtId="0" fontId="23" fillId="0" borderId="0" xfId="0" applyFont="1" applyAlignment="1"/>
    <xf numFmtId="0" fontId="18" fillId="5" borderId="12" xfId="0" applyFont="1" applyFill="1" applyBorder="1" applyAlignment="1">
      <alignment horizontal="left"/>
    </xf>
    <xf numFmtId="0" fontId="9" fillId="5" borderId="12" xfId="0" applyFont="1" applyFill="1" applyBorder="1" applyAlignment="1">
      <alignment horizontal="left"/>
    </xf>
    <xf numFmtId="164" fontId="7" fillId="0" borderId="12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164" fontId="11" fillId="4" borderId="12" xfId="0" applyNumberFormat="1" applyFont="1" applyFill="1" applyBorder="1" applyAlignment="1">
      <alignment vertical="center"/>
    </xf>
    <xf numFmtId="164" fontId="7" fillId="5" borderId="12" xfId="0" applyNumberFormat="1" applyFont="1" applyFill="1" applyBorder="1" applyAlignment="1">
      <alignment vertical="center"/>
    </xf>
    <xf numFmtId="164" fontId="7" fillId="4" borderId="12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164" fontId="7" fillId="0" borderId="12" xfId="0" applyNumberFormat="1" applyFont="1" applyBorder="1" applyAlignment="1">
      <alignment vertical="center"/>
    </xf>
    <xf numFmtId="164" fontId="7" fillId="8" borderId="12" xfId="0" applyNumberFormat="1" applyFont="1" applyFill="1" applyBorder="1" applyAlignment="1"/>
    <xf numFmtId="0" fontId="10" fillId="4" borderId="6" xfId="0" applyFont="1" applyFill="1" applyBorder="1" applyAlignment="1">
      <alignment wrapText="1"/>
    </xf>
    <xf numFmtId="164" fontId="4" fillId="3" borderId="7" xfId="0" applyNumberFormat="1" applyFont="1" applyFill="1" applyBorder="1" applyAlignment="1">
      <alignment horizontal="center" vertical="center" wrapText="1"/>
    </xf>
    <xf numFmtId="0" fontId="2" fillId="0" borderId="11" xfId="0" applyFont="1" applyBorder="1"/>
    <xf numFmtId="164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5" fillId="0" borderId="0" xfId="0" applyFont="1" applyAlignment="1">
      <alignment horizontal="center"/>
    </xf>
    <xf numFmtId="0" fontId="0" fillId="0" borderId="0" xfId="0" applyFont="1" applyAlignment="1"/>
    <xf numFmtId="0" fontId="17" fillId="5" borderId="0" xfId="0" applyFont="1" applyFill="1" applyAlignment="1">
      <alignment horizontal="center"/>
    </xf>
    <xf numFmtId="164" fontId="4" fillId="3" borderId="8" xfId="0" applyNumberFormat="1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9" xfId="0" applyFont="1" applyBorder="1"/>
    <xf numFmtId="0" fontId="1" fillId="3" borderId="1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2" fillId="0" borderId="13" xfId="0" applyFont="1" applyBorder="1"/>
    <xf numFmtId="164" fontId="17" fillId="5" borderId="0" xfId="0" applyNumberFormat="1" applyFont="1" applyFill="1" applyAlignment="1">
      <alignment horizontal="center"/>
    </xf>
    <xf numFmtId="164" fontId="4" fillId="3" borderId="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4" fillId="3" borderId="8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164" fontId="3" fillId="6" borderId="12" xfId="0" applyNumberFormat="1" applyFont="1" applyFill="1" applyBorder="1" applyAlignment="1">
      <alignment wrapText="1"/>
    </xf>
    <xf numFmtId="0" fontId="3" fillId="6" borderId="1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A984"/>
  <sheetViews>
    <sheetView tabSelected="1" workbookViewId="0">
      <selection activeCell="E20" sqref="E20"/>
    </sheetView>
  </sheetViews>
  <sheetFormatPr defaultColWidth="12.59765625" defaultRowHeight="15" customHeight="1" outlineLevelRow="1"/>
  <cols>
    <col min="1" max="1" width="7.59765625" customWidth="1"/>
    <col min="2" max="2" width="24.59765625" customWidth="1"/>
    <col min="3" max="3" width="12.59765625" customWidth="1"/>
    <col min="4" max="4" width="17.59765625" customWidth="1"/>
    <col min="5" max="6" width="12.59765625" customWidth="1"/>
    <col min="7" max="9" width="7" customWidth="1"/>
    <col min="10" max="13" width="10.09765625" customWidth="1"/>
    <col min="14" max="14" width="7" customWidth="1"/>
    <col min="15" max="15" width="10.09765625" customWidth="1"/>
    <col min="16" max="16" width="9.59765625" customWidth="1"/>
    <col min="17" max="17" width="10.8984375" customWidth="1"/>
    <col min="18" max="18" width="10.09765625" customWidth="1"/>
    <col min="19" max="20" width="12.59765625" customWidth="1"/>
    <col min="21" max="21" width="22.19921875" customWidth="1"/>
    <col min="22" max="27" width="7.59765625" customWidth="1"/>
  </cols>
  <sheetData>
    <row r="1" spans="1:27" ht="13.8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2"/>
      <c r="V1" s="1"/>
      <c r="W1" s="1"/>
      <c r="X1" s="1"/>
      <c r="Y1" s="1"/>
      <c r="Z1" s="1"/>
      <c r="AA1" s="1"/>
    </row>
    <row r="2" spans="1:27" ht="13.8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  <c r="V2" s="1"/>
      <c r="W2" s="1"/>
      <c r="X2" s="1"/>
      <c r="Y2" s="1"/>
      <c r="Z2" s="1"/>
      <c r="AA2" s="1"/>
    </row>
    <row r="3" spans="1:27" ht="13.8">
      <c r="A3" s="138" t="s">
        <v>1</v>
      </c>
      <c r="B3" s="138" t="s">
        <v>2</v>
      </c>
      <c r="C3" s="138" t="s">
        <v>3</v>
      </c>
      <c r="D3" s="138" t="s">
        <v>4</v>
      </c>
      <c r="E3" s="138" t="s">
        <v>5</v>
      </c>
      <c r="F3" s="138" t="s">
        <v>6</v>
      </c>
      <c r="G3" s="138" t="s">
        <v>7</v>
      </c>
      <c r="H3" s="149" t="s">
        <v>8</v>
      </c>
      <c r="I3" s="151"/>
      <c r="J3" s="151"/>
      <c r="K3" s="150"/>
      <c r="L3" s="149" t="s">
        <v>9</v>
      </c>
      <c r="M3" s="150"/>
      <c r="N3" s="138" t="s">
        <v>10</v>
      </c>
      <c r="O3" s="138" t="s">
        <v>11</v>
      </c>
      <c r="P3" s="138" t="s">
        <v>12</v>
      </c>
      <c r="Q3" s="138" t="s">
        <v>13</v>
      </c>
      <c r="R3" s="138" t="s">
        <v>14</v>
      </c>
      <c r="S3" s="138" t="s">
        <v>15</v>
      </c>
      <c r="T3" s="138" t="s">
        <v>16</v>
      </c>
      <c r="U3" s="138" t="s">
        <v>17</v>
      </c>
      <c r="V3" s="2"/>
      <c r="W3" s="2"/>
      <c r="X3" s="2"/>
      <c r="Y3" s="2"/>
      <c r="Z3" s="2"/>
      <c r="AA3" s="2"/>
    </row>
    <row r="4" spans="1:27" ht="24.75" customHeight="1">
      <c r="A4" s="139"/>
      <c r="B4" s="139"/>
      <c r="C4" s="139"/>
      <c r="D4" s="139"/>
      <c r="E4" s="139"/>
      <c r="F4" s="139"/>
      <c r="G4" s="139"/>
      <c r="H4" s="3" t="s">
        <v>18</v>
      </c>
      <c r="I4" s="4" t="s">
        <v>19</v>
      </c>
      <c r="J4" s="3" t="s">
        <v>20</v>
      </c>
      <c r="K4" s="4" t="s">
        <v>21</v>
      </c>
      <c r="L4" s="3" t="s">
        <v>22</v>
      </c>
      <c r="M4" s="4" t="s">
        <v>21</v>
      </c>
      <c r="N4" s="139"/>
      <c r="O4" s="139"/>
      <c r="P4" s="139"/>
      <c r="Q4" s="139"/>
      <c r="R4" s="139"/>
      <c r="S4" s="139"/>
      <c r="T4" s="139"/>
      <c r="U4" s="139"/>
      <c r="V4" s="2"/>
      <c r="W4" s="2"/>
      <c r="X4" s="2"/>
      <c r="Y4" s="2"/>
      <c r="Z4" s="2"/>
      <c r="AA4" s="2"/>
    </row>
    <row r="5" spans="1:27" ht="27.6">
      <c r="A5" s="5" t="s">
        <v>23</v>
      </c>
      <c r="B5" s="6" t="s">
        <v>24</v>
      </c>
      <c r="C5" s="7">
        <v>932937063</v>
      </c>
      <c r="D5" s="8" t="s">
        <v>25</v>
      </c>
      <c r="E5" s="9">
        <v>3500000</v>
      </c>
      <c r="F5" s="9">
        <v>3500000</v>
      </c>
      <c r="G5" s="10">
        <v>2</v>
      </c>
      <c r="H5" s="11">
        <v>1691</v>
      </c>
      <c r="I5" s="11">
        <v>1769</v>
      </c>
      <c r="J5" s="12">
        <v>4000</v>
      </c>
      <c r="K5" s="13">
        <f t="shared" ref="K5:K15" si="0">(I5-H5)*J5</f>
        <v>312000</v>
      </c>
      <c r="L5" s="12">
        <v>100000</v>
      </c>
      <c r="M5" s="13">
        <f t="shared" ref="M5:M15" si="1">G5*L5</f>
        <v>200000</v>
      </c>
      <c r="N5" s="14"/>
      <c r="O5" s="14"/>
      <c r="P5" s="9">
        <v>50000</v>
      </c>
      <c r="Q5" s="13">
        <f t="shared" ref="Q5:Q15" si="2">F5+K5+M5+P5</f>
        <v>4062000</v>
      </c>
      <c r="R5" s="15"/>
      <c r="S5" s="16">
        <f t="shared" ref="S5:S15" si="3">Q5-R5</f>
        <v>4062000</v>
      </c>
      <c r="T5" s="17"/>
      <c r="U5" s="137" t="s">
        <v>26</v>
      </c>
      <c r="V5" s="1"/>
      <c r="W5" s="1"/>
      <c r="X5" s="1"/>
      <c r="Y5" s="1"/>
      <c r="Z5" s="1"/>
      <c r="AA5" s="1"/>
    </row>
    <row r="6" spans="1:27" ht="13.8">
      <c r="A6" s="5" t="s">
        <v>27</v>
      </c>
      <c r="B6" s="18" t="s">
        <v>28</v>
      </c>
      <c r="C6" s="19">
        <v>988666471</v>
      </c>
      <c r="D6" s="20" t="s">
        <v>29</v>
      </c>
      <c r="E6" s="21">
        <v>4000000</v>
      </c>
      <c r="F6" s="21">
        <v>3500000</v>
      </c>
      <c r="G6" s="22">
        <v>2</v>
      </c>
      <c r="H6" s="11">
        <v>2628</v>
      </c>
      <c r="I6" s="11">
        <v>2724</v>
      </c>
      <c r="J6" s="12">
        <v>4000</v>
      </c>
      <c r="K6" s="13">
        <f t="shared" si="0"/>
        <v>384000</v>
      </c>
      <c r="L6" s="12">
        <v>100000</v>
      </c>
      <c r="M6" s="13">
        <f t="shared" si="1"/>
        <v>200000</v>
      </c>
      <c r="N6" s="14"/>
      <c r="O6" s="14"/>
      <c r="P6" s="21">
        <v>200000</v>
      </c>
      <c r="Q6" s="13">
        <f t="shared" si="2"/>
        <v>4284000</v>
      </c>
      <c r="R6" s="23"/>
      <c r="S6" s="24">
        <f t="shared" si="3"/>
        <v>4284000</v>
      </c>
      <c r="T6" s="25"/>
      <c r="U6" s="26" t="s">
        <v>30</v>
      </c>
      <c r="V6" s="1"/>
      <c r="W6" s="1"/>
      <c r="X6" s="1"/>
      <c r="Y6" s="1"/>
      <c r="Z6" s="1"/>
      <c r="AA6" s="1"/>
    </row>
    <row r="7" spans="1:27" ht="13.8">
      <c r="A7" s="5" t="s">
        <v>31</v>
      </c>
      <c r="B7" s="18" t="s">
        <v>32</v>
      </c>
      <c r="C7" s="7">
        <v>386379246</v>
      </c>
      <c r="D7" s="20" t="s">
        <v>25</v>
      </c>
      <c r="E7" s="27">
        <v>3800000</v>
      </c>
      <c r="F7" s="27">
        <v>3600000</v>
      </c>
      <c r="G7" s="22">
        <v>3</v>
      </c>
      <c r="H7" s="11">
        <v>2301</v>
      </c>
      <c r="I7" s="11">
        <v>2506</v>
      </c>
      <c r="J7" s="12">
        <v>4000</v>
      </c>
      <c r="K7" s="13">
        <f t="shared" si="0"/>
        <v>820000</v>
      </c>
      <c r="L7" s="12">
        <v>100000</v>
      </c>
      <c r="M7" s="13">
        <f t="shared" si="1"/>
        <v>300000</v>
      </c>
      <c r="N7" s="14"/>
      <c r="O7" s="14"/>
      <c r="P7" s="27">
        <v>250000</v>
      </c>
      <c r="Q7" s="13">
        <f t="shared" si="2"/>
        <v>4970000</v>
      </c>
      <c r="R7" s="23"/>
      <c r="S7" s="28">
        <f t="shared" si="3"/>
        <v>4970000</v>
      </c>
      <c r="T7" s="29"/>
      <c r="U7" s="26" t="s">
        <v>33</v>
      </c>
      <c r="V7" s="1"/>
      <c r="W7" s="1"/>
      <c r="X7" s="1"/>
      <c r="Y7" s="1"/>
      <c r="Z7" s="1"/>
      <c r="AA7" s="1"/>
    </row>
    <row r="8" spans="1:27" ht="13.8">
      <c r="A8" s="5" t="s">
        <v>34</v>
      </c>
      <c r="B8" s="18" t="s">
        <v>35</v>
      </c>
      <c r="C8" s="19">
        <v>348153502</v>
      </c>
      <c r="D8" s="20" t="s">
        <v>36</v>
      </c>
      <c r="E8" s="27">
        <v>3800000</v>
      </c>
      <c r="F8" s="27">
        <v>3300000</v>
      </c>
      <c r="G8" s="22">
        <v>3</v>
      </c>
      <c r="H8" s="11">
        <v>1257</v>
      </c>
      <c r="I8" s="11">
        <v>1341</v>
      </c>
      <c r="J8" s="12">
        <v>4000</v>
      </c>
      <c r="K8" s="13">
        <f t="shared" si="0"/>
        <v>336000</v>
      </c>
      <c r="L8" s="12">
        <v>100000</v>
      </c>
      <c r="M8" s="13">
        <f t="shared" si="1"/>
        <v>300000</v>
      </c>
      <c r="N8" s="14"/>
      <c r="O8" s="14"/>
      <c r="P8" s="27">
        <v>250000</v>
      </c>
      <c r="Q8" s="13">
        <f t="shared" si="2"/>
        <v>4186000</v>
      </c>
      <c r="R8" s="23"/>
      <c r="S8" s="24">
        <f t="shared" si="3"/>
        <v>4186000</v>
      </c>
      <c r="T8" s="25"/>
      <c r="U8" s="26" t="s">
        <v>37</v>
      </c>
      <c r="V8" s="1"/>
      <c r="W8" s="1"/>
      <c r="X8" s="1"/>
      <c r="Y8" s="1"/>
      <c r="Z8" s="1"/>
      <c r="AA8" s="1"/>
    </row>
    <row r="9" spans="1:27" ht="69">
      <c r="A9" s="5" t="s">
        <v>38</v>
      </c>
      <c r="B9" s="18" t="s">
        <v>39</v>
      </c>
      <c r="C9" s="19">
        <v>866708643</v>
      </c>
      <c r="D9" s="20" t="s">
        <v>40</v>
      </c>
      <c r="E9" s="27">
        <v>3800000</v>
      </c>
      <c r="F9" s="27">
        <v>3300000</v>
      </c>
      <c r="G9" s="22">
        <v>2</v>
      </c>
      <c r="H9" s="11">
        <v>2837</v>
      </c>
      <c r="I9" s="11">
        <v>3082</v>
      </c>
      <c r="J9" s="12">
        <v>4000</v>
      </c>
      <c r="K9" s="13">
        <f t="shared" si="0"/>
        <v>980000</v>
      </c>
      <c r="L9" s="12">
        <v>100000</v>
      </c>
      <c r="M9" s="13">
        <f t="shared" si="1"/>
        <v>200000</v>
      </c>
      <c r="N9" s="14"/>
      <c r="O9" s="14"/>
      <c r="P9" s="27">
        <v>200000</v>
      </c>
      <c r="Q9" s="13">
        <f t="shared" si="2"/>
        <v>4680000</v>
      </c>
      <c r="R9" s="23"/>
      <c r="S9" s="28">
        <f t="shared" si="3"/>
        <v>4680000</v>
      </c>
      <c r="T9" s="30"/>
      <c r="U9" s="31" t="s">
        <v>41</v>
      </c>
      <c r="V9" s="1"/>
      <c r="W9" s="1"/>
      <c r="X9" s="1"/>
      <c r="Y9" s="1"/>
      <c r="Z9" s="1"/>
      <c r="AA9" s="1"/>
    </row>
    <row r="10" spans="1:27" ht="13.8">
      <c r="A10" s="5">
        <v>101</v>
      </c>
      <c r="B10" s="18" t="s">
        <v>42</v>
      </c>
      <c r="C10" s="19">
        <v>703560372</v>
      </c>
      <c r="D10" s="20" t="s">
        <v>43</v>
      </c>
      <c r="E10" s="27">
        <v>3200000</v>
      </c>
      <c r="F10" s="27">
        <v>2600000</v>
      </c>
      <c r="G10" s="22">
        <v>1</v>
      </c>
      <c r="H10" s="11">
        <v>4029</v>
      </c>
      <c r="I10" s="11">
        <v>4259</v>
      </c>
      <c r="J10" s="12">
        <v>4000</v>
      </c>
      <c r="K10" s="13">
        <f t="shared" si="0"/>
        <v>920000</v>
      </c>
      <c r="L10" s="12">
        <v>100000</v>
      </c>
      <c r="M10" s="13">
        <f t="shared" si="1"/>
        <v>100000</v>
      </c>
      <c r="N10" s="14"/>
      <c r="O10" s="14"/>
      <c r="P10" s="27">
        <v>200000</v>
      </c>
      <c r="Q10" s="13">
        <f t="shared" si="2"/>
        <v>3820000</v>
      </c>
      <c r="R10" s="23"/>
      <c r="S10" s="24">
        <f t="shared" si="3"/>
        <v>3820000</v>
      </c>
      <c r="T10" s="25"/>
      <c r="U10" s="26" t="s">
        <v>37</v>
      </c>
      <c r="V10" s="1"/>
      <c r="W10" s="1"/>
      <c r="X10" s="1"/>
      <c r="Y10" s="1"/>
      <c r="Z10" s="1"/>
      <c r="AA10" s="1"/>
    </row>
    <row r="11" spans="1:27" ht="27.6">
      <c r="A11" s="5">
        <v>102</v>
      </c>
      <c r="B11" s="18" t="s">
        <v>44</v>
      </c>
      <c r="C11" s="19">
        <v>339262600</v>
      </c>
      <c r="D11" s="20" t="s">
        <v>43</v>
      </c>
      <c r="E11" s="27">
        <v>3200000</v>
      </c>
      <c r="F11" s="27">
        <v>3000000</v>
      </c>
      <c r="G11" s="22">
        <v>2</v>
      </c>
      <c r="H11" s="11">
        <v>1422</v>
      </c>
      <c r="I11" s="11">
        <v>1538</v>
      </c>
      <c r="J11" s="12">
        <v>4000</v>
      </c>
      <c r="K11" s="13">
        <f t="shared" si="0"/>
        <v>464000</v>
      </c>
      <c r="L11" s="12">
        <v>100000</v>
      </c>
      <c r="M11" s="13">
        <f t="shared" si="1"/>
        <v>200000</v>
      </c>
      <c r="N11" s="14"/>
      <c r="O11" s="14"/>
      <c r="P11" s="27">
        <v>200000</v>
      </c>
      <c r="Q11" s="13">
        <f t="shared" si="2"/>
        <v>3864000</v>
      </c>
      <c r="R11" s="23"/>
      <c r="S11" s="24">
        <f t="shared" si="3"/>
        <v>3864000</v>
      </c>
      <c r="T11" s="26"/>
      <c r="U11" s="31" t="s">
        <v>45</v>
      </c>
      <c r="V11" s="1"/>
      <c r="W11" s="1"/>
      <c r="X11" s="1"/>
      <c r="Y11" s="1"/>
      <c r="Z11" s="1"/>
      <c r="AA11" s="1"/>
    </row>
    <row r="12" spans="1:27" ht="13.8">
      <c r="A12" s="5">
        <v>103</v>
      </c>
      <c r="B12" s="32" t="s">
        <v>46</v>
      </c>
      <c r="C12" s="19">
        <v>333216654</v>
      </c>
      <c r="D12" s="20" t="s">
        <v>25</v>
      </c>
      <c r="E12" s="27">
        <v>4500000</v>
      </c>
      <c r="F12" s="27">
        <v>4000000</v>
      </c>
      <c r="G12" s="22">
        <v>3</v>
      </c>
      <c r="H12" s="11">
        <v>1522</v>
      </c>
      <c r="I12" s="11">
        <v>1630</v>
      </c>
      <c r="J12" s="12">
        <v>4000</v>
      </c>
      <c r="K12" s="13">
        <f t="shared" si="0"/>
        <v>432000</v>
      </c>
      <c r="L12" s="12">
        <v>100000</v>
      </c>
      <c r="M12" s="13">
        <f t="shared" si="1"/>
        <v>300000</v>
      </c>
      <c r="N12" s="14"/>
      <c r="O12" s="14"/>
      <c r="P12" s="27">
        <v>250000</v>
      </c>
      <c r="Q12" s="13">
        <f t="shared" si="2"/>
        <v>4982000</v>
      </c>
      <c r="R12" s="23"/>
      <c r="S12" s="24">
        <f t="shared" si="3"/>
        <v>4982000</v>
      </c>
      <c r="T12" s="25"/>
      <c r="U12" s="26" t="s">
        <v>30</v>
      </c>
      <c r="V12" s="1"/>
      <c r="W12" s="1"/>
      <c r="X12" s="1"/>
      <c r="Y12" s="1"/>
      <c r="Z12" s="1"/>
      <c r="AA12" s="1"/>
    </row>
    <row r="13" spans="1:27" ht="13.8">
      <c r="A13" s="5">
        <v>104</v>
      </c>
      <c r="B13" s="32" t="s">
        <v>47</v>
      </c>
      <c r="C13" s="19">
        <v>776790026</v>
      </c>
      <c r="D13" s="20" t="s">
        <v>25</v>
      </c>
      <c r="E13" s="27">
        <v>3000000</v>
      </c>
      <c r="F13" s="27">
        <v>3000000</v>
      </c>
      <c r="G13" s="22">
        <v>1</v>
      </c>
      <c r="H13" s="11">
        <v>1658</v>
      </c>
      <c r="I13" s="11">
        <v>1763</v>
      </c>
      <c r="J13" s="12">
        <v>4000</v>
      </c>
      <c r="K13" s="13">
        <f t="shared" si="0"/>
        <v>420000</v>
      </c>
      <c r="L13" s="12">
        <v>100000</v>
      </c>
      <c r="M13" s="13">
        <f t="shared" si="1"/>
        <v>100000</v>
      </c>
      <c r="N13" s="14"/>
      <c r="O13" s="14"/>
      <c r="P13" s="27">
        <v>200000</v>
      </c>
      <c r="Q13" s="13">
        <f t="shared" si="2"/>
        <v>3720000</v>
      </c>
      <c r="R13" s="23"/>
      <c r="S13" s="24">
        <f t="shared" si="3"/>
        <v>3720000</v>
      </c>
      <c r="T13" s="25"/>
      <c r="U13" s="26" t="s">
        <v>48</v>
      </c>
      <c r="V13" s="1"/>
      <c r="W13" s="1"/>
      <c r="X13" s="1"/>
      <c r="Y13" s="1"/>
      <c r="Z13" s="1"/>
      <c r="AA13" s="1"/>
    </row>
    <row r="14" spans="1:27" ht="13.8">
      <c r="A14" s="33">
        <v>105</v>
      </c>
      <c r="B14" s="34" t="s">
        <v>49</v>
      </c>
      <c r="C14" s="35">
        <v>792921499</v>
      </c>
      <c r="D14" s="36" t="s">
        <v>50</v>
      </c>
      <c r="E14" s="37">
        <v>3700000</v>
      </c>
      <c r="F14" s="37">
        <v>3200000</v>
      </c>
      <c r="G14" s="38">
        <v>2</v>
      </c>
      <c r="H14" s="34">
        <v>687</v>
      </c>
      <c r="I14" s="34">
        <v>807</v>
      </c>
      <c r="J14" s="12">
        <v>4000</v>
      </c>
      <c r="K14" s="13">
        <f t="shared" si="0"/>
        <v>480000</v>
      </c>
      <c r="L14" s="12">
        <v>100000</v>
      </c>
      <c r="M14" s="13">
        <f t="shared" si="1"/>
        <v>200000</v>
      </c>
      <c r="N14" s="14"/>
      <c r="O14" s="14"/>
      <c r="P14" s="37">
        <v>200000</v>
      </c>
      <c r="Q14" s="13">
        <f t="shared" si="2"/>
        <v>4080000</v>
      </c>
      <c r="R14" s="23"/>
      <c r="S14" s="24">
        <f t="shared" si="3"/>
        <v>4080000</v>
      </c>
      <c r="T14" s="39"/>
      <c r="U14" s="26" t="s">
        <v>51</v>
      </c>
      <c r="V14" s="1"/>
      <c r="W14" s="1"/>
      <c r="X14" s="1"/>
      <c r="Y14" s="1"/>
      <c r="Z14" s="1"/>
      <c r="AA14" s="1"/>
    </row>
    <row r="15" spans="1:27" ht="13.8">
      <c r="A15" s="40">
        <v>106</v>
      </c>
      <c r="B15" s="41" t="s">
        <v>52</v>
      </c>
      <c r="C15" s="42">
        <v>919929108</v>
      </c>
      <c r="D15" s="43" t="s">
        <v>43</v>
      </c>
      <c r="E15" s="44">
        <v>3500000</v>
      </c>
      <c r="F15" s="44">
        <v>3000000</v>
      </c>
      <c r="G15" s="45">
        <v>1</v>
      </c>
      <c r="H15" s="45">
        <v>1782</v>
      </c>
      <c r="I15" s="45">
        <v>1872</v>
      </c>
      <c r="J15" s="12">
        <v>4000</v>
      </c>
      <c r="K15" s="13">
        <f t="shared" si="0"/>
        <v>360000</v>
      </c>
      <c r="L15" s="12">
        <v>100000</v>
      </c>
      <c r="M15" s="13">
        <f t="shared" si="1"/>
        <v>100000</v>
      </c>
      <c r="N15" s="14"/>
      <c r="O15" s="14"/>
      <c r="P15" s="37">
        <v>200000</v>
      </c>
      <c r="Q15" s="13">
        <f t="shared" si="2"/>
        <v>3660000</v>
      </c>
      <c r="R15" s="23"/>
      <c r="S15" s="28">
        <f t="shared" si="3"/>
        <v>3660000</v>
      </c>
      <c r="T15" s="46"/>
      <c r="U15" s="26" t="s">
        <v>53</v>
      </c>
      <c r="V15" s="1"/>
      <c r="W15" s="1"/>
      <c r="X15" s="1"/>
      <c r="Y15" s="1"/>
      <c r="Z15" s="1"/>
      <c r="AA15" s="1"/>
    </row>
    <row r="16" spans="1:27" ht="13.8">
      <c r="A16" s="47"/>
      <c r="B16" s="48"/>
      <c r="C16" s="48"/>
      <c r="D16" s="49"/>
      <c r="E16" s="50">
        <f t="shared" ref="E16:G16" si="4">SUM(E5:E15)</f>
        <v>40000000</v>
      </c>
      <c r="F16" s="50">
        <f t="shared" si="4"/>
        <v>36000000</v>
      </c>
      <c r="G16" s="51">
        <f t="shared" si="4"/>
        <v>22</v>
      </c>
      <c r="H16" s="50"/>
      <c r="I16" s="50"/>
      <c r="J16" s="50"/>
      <c r="K16" s="50">
        <f>SUM(K5:K15)</f>
        <v>5908000</v>
      </c>
      <c r="L16" s="50"/>
      <c r="M16" s="50">
        <f>SUM(M5:M15)</f>
        <v>2200000</v>
      </c>
      <c r="N16" s="47"/>
      <c r="O16" s="47"/>
      <c r="P16" s="50">
        <f t="shared" ref="P16:Q16" si="5">SUM(P5:P15)</f>
        <v>2200000</v>
      </c>
      <c r="Q16" s="50">
        <f t="shared" si="5"/>
        <v>46308000</v>
      </c>
      <c r="R16" s="50"/>
      <c r="S16" s="47">
        <f>SUM(S5:S15)</f>
        <v>46308000</v>
      </c>
      <c r="T16" s="52"/>
      <c r="U16" s="52"/>
      <c r="V16" s="53"/>
      <c r="W16" s="53"/>
      <c r="X16" s="53"/>
      <c r="Y16" s="53"/>
      <c r="Z16" s="53"/>
      <c r="AA16" s="53"/>
    </row>
    <row r="17" spans="1:27" ht="13.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54"/>
      <c r="U17" s="54"/>
      <c r="V17" s="1"/>
      <c r="W17" s="1"/>
      <c r="X17" s="1"/>
      <c r="Y17" s="1"/>
      <c r="Z17" s="1"/>
      <c r="AA17" s="1"/>
    </row>
    <row r="18" spans="1:27" ht="13.8">
      <c r="A18" s="152" t="s">
        <v>54</v>
      </c>
      <c r="B18" s="141"/>
      <c r="C18" s="141"/>
      <c r="D18" s="141"/>
      <c r="E18" s="142"/>
      <c r="F18" s="5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56"/>
      <c r="V18" s="1"/>
      <c r="W18" s="1"/>
      <c r="X18" s="1"/>
      <c r="Y18" s="1"/>
      <c r="Z18" s="1"/>
      <c r="AA18" s="1"/>
    </row>
    <row r="19" spans="1:27" ht="13.8">
      <c r="A19" s="153" t="str">
        <f>A1</f>
        <v>K7: 14-21-2 PHẠM HÙNG, BÌNH CHÁNH</v>
      </c>
      <c r="B19" s="144"/>
      <c r="C19" s="144"/>
      <c r="D19" s="144"/>
      <c r="E19" s="145"/>
      <c r="F19" s="5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54" t="s">
        <v>55</v>
      </c>
      <c r="B20" s="57" t="s">
        <v>56</v>
      </c>
      <c r="C20" s="57" t="s">
        <v>57</v>
      </c>
      <c r="D20" s="57" t="s">
        <v>58</v>
      </c>
      <c r="E20" s="57" t="s">
        <v>59</v>
      </c>
      <c r="F20" s="5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41.4">
      <c r="A21" s="155"/>
      <c r="B21" s="161" t="s">
        <v>60</v>
      </c>
      <c r="C21" s="59">
        <f>F16</f>
        <v>36000000</v>
      </c>
      <c r="D21" s="60">
        <v>15000000</v>
      </c>
      <c r="E21" s="59">
        <f t="shared" ref="E21:E28" si="6">C21-D21</f>
        <v>21000000</v>
      </c>
      <c r="F21" s="61" t="s">
        <v>61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41.4">
      <c r="A22" s="155"/>
      <c r="B22" s="162" t="s">
        <v>62</v>
      </c>
      <c r="C22" s="59">
        <f>K16</f>
        <v>5908000</v>
      </c>
      <c r="D22" s="63">
        <v>6093036</v>
      </c>
      <c r="E22" s="59">
        <f t="shared" si="6"/>
        <v>-185036</v>
      </c>
      <c r="F22" s="64" t="s">
        <v>63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41.4">
      <c r="A23" s="155"/>
      <c r="B23" s="65" t="s">
        <v>64</v>
      </c>
      <c r="C23" s="59">
        <f>M16</f>
        <v>2200000</v>
      </c>
      <c r="D23" s="63">
        <v>3780756</v>
      </c>
      <c r="E23" s="59">
        <f t="shared" si="6"/>
        <v>-1580756</v>
      </c>
      <c r="F23" s="64" t="s">
        <v>65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7.6">
      <c r="A24" s="155"/>
      <c r="B24" s="66" t="s">
        <v>66</v>
      </c>
      <c r="C24" s="60">
        <v>0</v>
      </c>
      <c r="D24" s="60">
        <v>299000</v>
      </c>
      <c r="E24" s="59">
        <f t="shared" si="6"/>
        <v>-299000</v>
      </c>
      <c r="F24" s="67" t="s">
        <v>65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55"/>
      <c r="B25" s="68" t="s">
        <v>67</v>
      </c>
      <c r="C25" s="60">
        <v>0</v>
      </c>
      <c r="D25" s="60">
        <f>600000+1100000</f>
        <v>1700000</v>
      </c>
      <c r="E25" s="59">
        <f t="shared" si="6"/>
        <v>-1700000</v>
      </c>
      <c r="F25" s="6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55"/>
      <c r="B26" s="69" t="s">
        <v>68</v>
      </c>
      <c r="C26" s="70">
        <v>0</v>
      </c>
      <c r="D26" s="71">
        <v>4000000</v>
      </c>
      <c r="E26" s="71">
        <f t="shared" si="6"/>
        <v>-4000000</v>
      </c>
      <c r="F26" s="7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55"/>
      <c r="B27" s="69" t="s">
        <v>69</v>
      </c>
      <c r="C27" s="71">
        <f>P16</f>
        <v>2200000</v>
      </c>
      <c r="D27" s="71">
        <v>1000000</v>
      </c>
      <c r="E27" s="71">
        <f t="shared" si="6"/>
        <v>1200000</v>
      </c>
      <c r="F27" s="72"/>
      <c r="I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39"/>
      <c r="B28" s="69" t="s">
        <v>70</v>
      </c>
      <c r="C28" s="71">
        <f>O16</f>
        <v>0</v>
      </c>
      <c r="D28" s="71">
        <v>700000</v>
      </c>
      <c r="E28" s="71">
        <f t="shared" si="6"/>
        <v>-700000</v>
      </c>
      <c r="F28" s="72"/>
      <c r="I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73"/>
      <c r="B29" s="47" t="s">
        <v>71</v>
      </c>
      <c r="C29" s="74">
        <f t="shared" ref="C29:E29" si="7">SUM(C21:C28)</f>
        <v>46308000</v>
      </c>
      <c r="D29" s="74">
        <f t="shared" si="7"/>
        <v>32572792</v>
      </c>
      <c r="E29" s="74">
        <f t="shared" si="7"/>
        <v>13735208</v>
      </c>
      <c r="F29" s="75">
        <f>E29/C29</f>
        <v>0.29660551092683768</v>
      </c>
      <c r="I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76"/>
      <c r="B30" s="76"/>
      <c r="C30" s="76"/>
      <c r="D30" s="76"/>
      <c r="E30" s="77"/>
      <c r="F30" s="7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outlineLevel="1">
      <c r="A31" s="146" t="s">
        <v>72</v>
      </c>
      <c r="B31" s="147"/>
      <c r="C31" s="147"/>
      <c r="D31" s="147"/>
      <c r="E31" s="79">
        <v>250000000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outlineLevel="1">
      <c r="A32" s="1"/>
      <c r="B32" s="1"/>
      <c r="C32" s="1"/>
      <c r="D32" s="1"/>
      <c r="E32" s="80">
        <f>E29/E31</f>
        <v>5.4940832000000002E-2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81"/>
      <c r="B33" s="81"/>
      <c r="C33" s="81"/>
      <c r="D33" s="81"/>
      <c r="E33" s="82"/>
      <c r="F33" s="81"/>
      <c r="G33" s="81"/>
      <c r="H33" s="148"/>
      <c r="I33" s="147"/>
      <c r="J33" s="147"/>
      <c r="K33" s="147"/>
      <c r="L33" s="148"/>
      <c r="M33" s="147"/>
      <c r="N33" s="81"/>
      <c r="O33" s="81"/>
      <c r="P33" s="81"/>
      <c r="Q33" s="81"/>
      <c r="R33" s="81"/>
      <c r="S33" s="81"/>
      <c r="T33" s="81"/>
      <c r="U33" s="81"/>
      <c r="V33" s="1"/>
      <c r="W33" s="1"/>
      <c r="X33" s="1"/>
      <c r="Y33" s="1"/>
      <c r="Z33" s="1"/>
      <c r="AA33" s="1"/>
    </row>
    <row r="34" spans="1:27" ht="15.75" customHeight="1">
      <c r="A34" s="1"/>
      <c r="B34" s="1"/>
      <c r="C34" s="1"/>
      <c r="D34" s="1"/>
      <c r="E34" s="83">
        <v>600000</v>
      </c>
      <c r="F34" s="84" t="s">
        <v>73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1"/>
      <c r="D35" s="1"/>
      <c r="E35" s="83">
        <v>1100000</v>
      </c>
      <c r="F35" s="84" t="s">
        <v>74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1"/>
      <c r="C36" s="1"/>
      <c r="D36" s="1"/>
      <c r="E36" s="85">
        <f>D26+D27+D28+E34+E35-S5-340000+2000</f>
        <v>3000000</v>
      </c>
      <c r="F36" s="86" t="s">
        <v>75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</sheetData>
  <mergeCells count="24">
    <mergeCell ref="A31:D31"/>
    <mergeCell ref="H33:K33"/>
    <mergeCell ref="L33:M33"/>
    <mergeCell ref="L3:M3"/>
    <mergeCell ref="N3:N4"/>
    <mergeCell ref="G3:G4"/>
    <mergeCell ref="H3:K3"/>
    <mergeCell ref="A18:E18"/>
    <mergeCell ref="A19:E19"/>
    <mergeCell ref="A20:A28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O3:O4"/>
    <mergeCell ref="P3:P4"/>
    <mergeCell ref="Q3:Q4"/>
    <mergeCell ref="R3:R4"/>
    <mergeCell ref="S3:S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85"/>
  <sheetViews>
    <sheetView workbookViewId="0"/>
  </sheetViews>
  <sheetFormatPr defaultColWidth="12.59765625" defaultRowHeight="15" customHeight="1" outlineLevelRow="1"/>
  <cols>
    <col min="1" max="1" width="7.59765625" customWidth="1"/>
    <col min="2" max="2" width="24.59765625" customWidth="1"/>
    <col min="3" max="3" width="12.59765625" customWidth="1"/>
    <col min="4" max="4" width="17.59765625" customWidth="1"/>
    <col min="5" max="6" width="12.59765625" customWidth="1"/>
    <col min="7" max="9" width="7" customWidth="1"/>
    <col min="10" max="13" width="10.09765625" customWidth="1"/>
    <col min="14" max="14" width="7" customWidth="1"/>
    <col min="15" max="18" width="10.09765625" customWidth="1"/>
    <col min="19" max="19" width="12.59765625" customWidth="1"/>
    <col min="20" max="20" width="15.69921875" customWidth="1"/>
    <col min="21" max="21" width="22.19921875" customWidth="1"/>
    <col min="22" max="27" width="7.59765625" customWidth="1"/>
  </cols>
  <sheetData>
    <row r="1" spans="1:27" ht="13.8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2"/>
      <c r="V1" s="1"/>
      <c r="W1" s="1"/>
      <c r="X1" s="1"/>
      <c r="Y1" s="1"/>
      <c r="Z1" s="1"/>
      <c r="AA1" s="1"/>
    </row>
    <row r="2" spans="1:27" ht="13.8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  <c r="V2" s="1"/>
      <c r="W2" s="1"/>
      <c r="X2" s="1"/>
      <c r="Y2" s="1"/>
      <c r="Z2" s="1"/>
      <c r="AA2" s="1"/>
    </row>
    <row r="3" spans="1:27" ht="13.8">
      <c r="A3" s="138" t="s">
        <v>1</v>
      </c>
      <c r="B3" s="138" t="s">
        <v>2</v>
      </c>
      <c r="C3" s="138" t="s">
        <v>3</v>
      </c>
      <c r="D3" s="138" t="s">
        <v>4</v>
      </c>
      <c r="E3" s="138" t="s">
        <v>5</v>
      </c>
      <c r="F3" s="138" t="s">
        <v>6</v>
      </c>
      <c r="G3" s="138" t="s">
        <v>7</v>
      </c>
      <c r="H3" s="149" t="s">
        <v>8</v>
      </c>
      <c r="I3" s="151"/>
      <c r="J3" s="151"/>
      <c r="K3" s="150"/>
      <c r="L3" s="149" t="s">
        <v>9</v>
      </c>
      <c r="M3" s="150"/>
      <c r="N3" s="138" t="s">
        <v>10</v>
      </c>
      <c r="O3" s="138" t="s">
        <v>11</v>
      </c>
      <c r="P3" s="138" t="s">
        <v>12</v>
      </c>
      <c r="Q3" s="138" t="s">
        <v>13</v>
      </c>
      <c r="R3" s="138" t="s">
        <v>14</v>
      </c>
      <c r="S3" s="138" t="s">
        <v>15</v>
      </c>
      <c r="T3" s="138" t="s">
        <v>16</v>
      </c>
      <c r="U3" s="138" t="s">
        <v>17</v>
      </c>
      <c r="V3" s="2"/>
      <c r="W3" s="2"/>
      <c r="X3" s="2"/>
      <c r="Y3" s="2"/>
      <c r="Z3" s="2"/>
      <c r="AA3" s="2"/>
    </row>
    <row r="4" spans="1:27" ht="25.5" customHeight="1">
      <c r="A4" s="139"/>
      <c r="B4" s="139"/>
      <c r="C4" s="139"/>
      <c r="D4" s="139"/>
      <c r="E4" s="139"/>
      <c r="F4" s="139"/>
      <c r="G4" s="139"/>
      <c r="H4" s="3" t="s">
        <v>18</v>
      </c>
      <c r="I4" s="4" t="s">
        <v>19</v>
      </c>
      <c r="J4" s="3" t="s">
        <v>20</v>
      </c>
      <c r="K4" s="4" t="s">
        <v>21</v>
      </c>
      <c r="L4" s="3" t="s">
        <v>22</v>
      </c>
      <c r="M4" s="4" t="s">
        <v>21</v>
      </c>
      <c r="N4" s="139"/>
      <c r="O4" s="139"/>
      <c r="P4" s="139"/>
      <c r="Q4" s="139"/>
      <c r="R4" s="139"/>
      <c r="S4" s="139"/>
      <c r="T4" s="139"/>
      <c r="U4" s="139"/>
      <c r="V4" s="2"/>
      <c r="W4" s="2"/>
      <c r="X4" s="2"/>
      <c r="Y4" s="2"/>
      <c r="Z4" s="2"/>
      <c r="AA4" s="2"/>
    </row>
    <row r="5" spans="1:27" ht="13.8">
      <c r="A5" s="5" t="s">
        <v>23</v>
      </c>
      <c r="B5" s="6" t="s">
        <v>24</v>
      </c>
      <c r="C5" s="7">
        <v>932937063</v>
      </c>
      <c r="D5" s="8" t="s">
        <v>25</v>
      </c>
      <c r="E5" s="9">
        <v>3500000</v>
      </c>
      <c r="F5" s="9">
        <v>3500000</v>
      </c>
      <c r="G5" s="10">
        <v>2</v>
      </c>
      <c r="H5" s="11">
        <v>1605</v>
      </c>
      <c r="I5" s="11">
        <v>1691</v>
      </c>
      <c r="J5" s="12">
        <v>4000</v>
      </c>
      <c r="K5" s="13">
        <f t="shared" ref="K5:K15" si="0">(I5-H5)*J5</f>
        <v>344000</v>
      </c>
      <c r="L5" s="12">
        <v>100000</v>
      </c>
      <c r="M5" s="13">
        <f t="shared" ref="M5:M15" si="1">G5*L5</f>
        <v>200000</v>
      </c>
      <c r="N5" s="14"/>
      <c r="O5" s="14"/>
      <c r="P5" s="9">
        <v>50000</v>
      </c>
      <c r="Q5" s="13">
        <f t="shared" ref="Q5:Q15" si="2">F5+K5+M5+P5</f>
        <v>4094000</v>
      </c>
      <c r="R5" s="15"/>
      <c r="S5" s="87">
        <f t="shared" ref="S5:S15" si="3">Q5-R5</f>
        <v>4094000</v>
      </c>
      <c r="T5" s="88"/>
      <c r="U5" s="88" t="s">
        <v>76</v>
      </c>
      <c r="V5" s="1"/>
      <c r="W5" s="1"/>
      <c r="X5" s="1"/>
      <c r="Y5" s="1"/>
      <c r="Z5" s="1"/>
      <c r="AA5" s="1"/>
    </row>
    <row r="6" spans="1:27" ht="13.8">
      <c r="A6" s="5" t="s">
        <v>27</v>
      </c>
      <c r="B6" s="18" t="s">
        <v>28</v>
      </c>
      <c r="C6" s="19">
        <v>988666471</v>
      </c>
      <c r="D6" s="20" t="s">
        <v>29</v>
      </c>
      <c r="E6" s="21">
        <v>4000000</v>
      </c>
      <c r="F6" s="21">
        <v>3500000</v>
      </c>
      <c r="G6" s="22">
        <v>2</v>
      </c>
      <c r="H6" s="11">
        <v>2528</v>
      </c>
      <c r="I6" s="11">
        <v>2628</v>
      </c>
      <c r="J6" s="12">
        <v>4000</v>
      </c>
      <c r="K6" s="13">
        <f t="shared" si="0"/>
        <v>400000</v>
      </c>
      <c r="L6" s="12">
        <v>100000</v>
      </c>
      <c r="M6" s="13">
        <f t="shared" si="1"/>
        <v>200000</v>
      </c>
      <c r="N6" s="14"/>
      <c r="O6" s="14"/>
      <c r="P6" s="21">
        <v>200000</v>
      </c>
      <c r="Q6" s="13">
        <f t="shared" si="2"/>
        <v>4300000</v>
      </c>
      <c r="R6" s="23"/>
      <c r="S6" s="24">
        <f t="shared" si="3"/>
        <v>4300000</v>
      </c>
      <c r="T6" s="25"/>
      <c r="U6" s="25" t="s">
        <v>77</v>
      </c>
      <c r="V6" s="1"/>
      <c r="W6" s="1"/>
      <c r="X6" s="1"/>
      <c r="Y6" s="1"/>
      <c r="Z6" s="1"/>
      <c r="AA6" s="1"/>
    </row>
    <row r="7" spans="1:27" ht="13.8">
      <c r="A7" s="5" t="s">
        <v>31</v>
      </c>
      <c r="B7" s="18" t="s">
        <v>32</v>
      </c>
      <c r="C7" s="7">
        <v>386379246</v>
      </c>
      <c r="D7" s="20" t="s">
        <v>25</v>
      </c>
      <c r="E7" s="27">
        <v>3800000</v>
      </c>
      <c r="F7" s="27">
        <v>3600000</v>
      </c>
      <c r="G7" s="22">
        <v>3</v>
      </c>
      <c r="H7" s="11">
        <v>2055</v>
      </c>
      <c r="I7" s="11">
        <v>2301</v>
      </c>
      <c r="J7" s="12">
        <v>4000</v>
      </c>
      <c r="K7" s="13">
        <f t="shared" si="0"/>
        <v>984000</v>
      </c>
      <c r="L7" s="12">
        <v>100000</v>
      </c>
      <c r="M7" s="13">
        <f t="shared" si="1"/>
        <v>300000</v>
      </c>
      <c r="N7" s="14"/>
      <c r="O7" s="14"/>
      <c r="P7" s="27">
        <v>250000</v>
      </c>
      <c r="Q7" s="13">
        <f t="shared" si="2"/>
        <v>5134000</v>
      </c>
      <c r="R7" s="23"/>
      <c r="S7" s="24">
        <f t="shared" si="3"/>
        <v>5134000</v>
      </c>
      <c r="T7" s="89"/>
      <c r="U7" s="25" t="s">
        <v>78</v>
      </c>
      <c r="V7" s="1"/>
      <c r="W7" s="1"/>
      <c r="X7" s="1"/>
      <c r="Y7" s="1"/>
      <c r="Z7" s="1"/>
      <c r="AA7" s="1"/>
    </row>
    <row r="8" spans="1:27" ht="13.8">
      <c r="A8" s="5" t="s">
        <v>34</v>
      </c>
      <c r="B8" s="18" t="s">
        <v>35</v>
      </c>
      <c r="C8" s="19">
        <v>348153502</v>
      </c>
      <c r="D8" s="20" t="s">
        <v>36</v>
      </c>
      <c r="E8" s="27">
        <v>3800000</v>
      </c>
      <c r="F8" s="27">
        <v>3300000</v>
      </c>
      <c r="G8" s="22">
        <v>3</v>
      </c>
      <c r="H8" s="11">
        <v>1189</v>
      </c>
      <c r="I8" s="11">
        <v>1257</v>
      </c>
      <c r="J8" s="12">
        <v>4000</v>
      </c>
      <c r="K8" s="13">
        <f t="shared" si="0"/>
        <v>272000</v>
      </c>
      <c r="L8" s="12">
        <v>100000</v>
      </c>
      <c r="M8" s="13">
        <f t="shared" si="1"/>
        <v>300000</v>
      </c>
      <c r="N8" s="14"/>
      <c r="O8" s="14"/>
      <c r="P8" s="27">
        <v>250000</v>
      </c>
      <c r="Q8" s="13">
        <f t="shared" si="2"/>
        <v>4122000</v>
      </c>
      <c r="R8" s="23"/>
      <c r="S8" s="24">
        <f t="shared" si="3"/>
        <v>4122000</v>
      </c>
      <c r="T8" s="25"/>
      <c r="U8" s="25" t="s">
        <v>79</v>
      </c>
      <c r="V8" s="1"/>
      <c r="W8" s="1"/>
      <c r="X8" s="1"/>
      <c r="Y8" s="1"/>
      <c r="Z8" s="1"/>
      <c r="AA8" s="1"/>
    </row>
    <row r="9" spans="1:27" ht="13.8">
      <c r="A9" s="5" t="s">
        <v>38</v>
      </c>
      <c r="B9" s="18" t="s">
        <v>39</v>
      </c>
      <c r="C9" s="19">
        <v>866708643</v>
      </c>
      <c r="D9" s="20" t="s">
        <v>40</v>
      </c>
      <c r="E9" s="27">
        <v>3800000</v>
      </c>
      <c r="F9" s="27">
        <v>3300000</v>
      </c>
      <c r="G9" s="22">
        <v>2</v>
      </c>
      <c r="H9" s="11">
        <v>2564</v>
      </c>
      <c r="I9" s="11">
        <v>2837</v>
      </c>
      <c r="J9" s="12">
        <v>4000</v>
      </c>
      <c r="K9" s="13">
        <f t="shared" si="0"/>
        <v>1092000</v>
      </c>
      <c r="L9" s="12">
        <v>100000</v>
      </c>
      <c r="M9" s="13">
        <f t="shared" si="1"/>
        <v>200000</v>
      </c>
      <c r="N9" s="14"/>
      <c r="O9" s="14"/>
      <c r="P9" s="27">
        <v>200000</v>
      </c>
      <c r="Q9" s="13">
        <f t="shared" si="2"/>
        <v>4792000</v>
      </c>
      <c r="R9" s="23"/>
      <c r="S9" s="87">
        <f t="shared" si="3"/>
        <v>4792000</v>
      </c>
      <c r="T9" s="90"/>
      <c r="U9" s="91" t="s">
        <v>80</v>
      </c>
      <c r="V9" s="1"/>
      <c r="W9" s="1"/>
      <c r="X9" s="1"/>
      <c r="Y9" s="1"/>
      <c r="Z9" s="1"/>
      <c r="AA9" s="1"/>
    </row>
    <row r="10" spans="1:27" ht="13.8">
      <c r="A10" s="92">
        <v>101</v>
      </c>
      <c r="B10" s="18" t="s">
        <v>42</v>
      </c>
      <c r="C10" s="19">
        <v>703560372</v>
      </c>
      <c r="D10" s="20" t="s">
        <v>43</v>
      </c>
      <c r="E10" s="27">
        <v>3200000</v>
      </c>
      <c r="F10" s="27">
        <v>2600000</v>
      </c>
      <c r="G10" s="22">
        <v>1</v>
      </c>
      <c r="H10" s="11">
        <v>3767</v>
      </c>
      <c r="I10" s="11">
        <v>4029</v>
      </c>
      <c r="J10" s="12">
        <v>4000</v>
      </c>
      <c r="K10" s="13">
        <f t="shared" si="0"/>
        <v>1048000</v>
      </c>
      <c r="L10" s="12">
        <v>100000</v>
      </c>
      <c r="M10" s="13">
        <f t="shared" si="1"/>
        <v>100000</v>
      </c>
      <c r="N10" s="14"/>
      <c r="O10" s="14"/>
      <c r="P10" s="27">
        <v>200000</v>
      </c>
      <c r="Q10" s="13">
        <f t="shared" si="2"/>
        <v>3948000</v>
      </c>
      <c r="R10" s="23"/>
      <c r="S10" s="24">
        <f t="shared" si="3"/>
        <v>3948000</v>
      </c>
      <c r="T10" s="25"/>
      <c r="U10" s="25" t="s">
        <v>81</v>
      </c>
      <c r="V10" s="1"/>
      <c r="W10" s="1"/>
      <c r="X10" s="1"/>
      <c r="Y10" s="1"/>
      <c r="Z10" s="1"/>
      <c r="AA10" s="1"/>
    </row>
    <row r="11" spans="1:27" ht="13.8">
      <c r="A11" s="92">
        <v>102</v>
      </c>
      <c r="B11" s="18" t="s">
        <v>44</v>
      </c>
      <c r="C11" s="19">
        <v>339262600</v>
      </c>
      <c r="D11" s="20" t="s">
        <v>43</v>
      </c>
      <c r="E11" s="27">
        <v>3200000</v>
      </c>
      <c r="F11" s="27">
        <v>3000000</v>
      </c>
      <c r="G11" s="22">
        <v>2</v>
      </c>
      <c r="H11" s="11">
        <v>1281</v>
      </c>
      <c r="I11" s="11">
        <v>1422</v>
      </c>
      <c r="J11" s="12">
        <v>4000</v>
      </c>
      <c r="K11" s="13">
        <f t="shared" si="0"/>
        <v>564000</v>
      </c>
      <c r="L11" s="12">
        <v>100000</v>
      </c>
      <c r="M11" s="13">
        <f t="shared" si="1"/>
        <v>200000</v>
      </c>
      <c r="N11" s="14"/>
      <c r="O11" s="14"/>
      <c r="P11" s="27">
        <v>200000</v>
      </c>
      <c r="Q11" s="13">
        <f t="shared" si="2"/>
        <v>3964000</v>
      </c>
      <c r="R11" s="23"/>
      <c r="S11" s="24">
        <f t="shared" si="3"/>
        <v>3964000</v>
      </c>
      <c r="T11" s="26"/>
      <c r="U11" s="26" t="s">
        <v>82</v>
      </c>
      <c r="V11" s="1"/>
      <c r="W11" s="1"/>
      <c r="X11" s="1"/>
      <c r="Y11" s="1"/>
      <c r="Z11" s="1"/>
      <c r="AA11" s="1"/>
    </row>
    <row r="12" spans="1:27" ht="13.8">
      <c r="A12" s="92">
        <v>103</v>
      </c>
      <c r="B12" s="32" t="s">
        <v>46</v>
      </c>
      <c r="C12" s="19">
        <v>333216654</v>
      </c>
      <c r="D12" s="20" t="s">
        <v>25</v>
      </c>
      <c r="E12" s="27">
        <v>4500000</v>
      </c>
      <c r="F12" s="27">
        <v>4000000</v>
      </c>
      <c r="G12" s="22">
        <v>3</v>
      </c>
      <c r="H12" s="11">
        <v>1408</v>
      </c>
      <c r="I12" s="11">
        <v>1522</v>
      </c>
      <c r="J12" s="12">
        <v>4000</v>
      </c>
      <c r="K12" s="13">
        <f t="shared" si="0"/>
        <v>456000</v>
      </c>
      <c r="L12" s="12">
        <v>100000</v>
      </c>
      <c r="M12" s="13">
        <f t="shared" si="1"/>
        <v>300000</v>
      </c>
      <c r="N12" s="14"/>
      <c r="O12" s="14"/>
      <c r="P12" s="27">
        <v>250000</v>
      </c>
      <c r="Q12" s="13">
        <f t="shared" si="2"/>
        <v>5006000</v>
      </c>
      <c r="R12" s="23"/>
      <c r="S12" s="24">
        <f t="shared" si="3"/>
        <v>5006000</v>
      </c>
      <c r="T12" s="25"/>
      <c r="U12" s="25" t="s">
        <v>81</v>
      </c>
      <c r="V12" s="1"/>
      <c r="W12" s="1"/>
      <c r="X12" s="1"/>
      <c r="Y12" s="1"/>
      <c r="Z12" s="1"/>
      <c r="AA12" s="1"/>
    </row>
    <row r="13" spans="1:27" ht="13.8">
      <c r="A13" s="92">
        <v>104</v>
      </c>
      <c r="B13" s="32" t="s">
        <v>47</v>
      </c>
      <c r="C13" s="19">
        <v>776790026</v>
      </c>
      <c r="D13" s="20" t="s">
        <v>25</v>
      </c>
      <c r="E13" s="27">
        <v>3000000</v>
      </c>
      <c r="F13" s="27">
        <v>3000000</v>
      </c>
      <c r="G13" s="22">
        <v>1</v>
      </c>
      <c r="H13" s="11">
        <v>1555</v>
      </c>
      <c r="I13" s="11">
        <v>1658</v>
      </c>
      <c r="J13" s="12">
        <v>4000</v>
      </c>
      <c r="K13" s="13">
        <f t="shared" si="0"/>
        <v>412000</v>
      </c>
      <c r="L13" s="12">
        <v>100000</v>
      </c>
      <c r="M13" s="13">
        <f t="shared" si="1"/>
        <v>100000</v>
      </c>
      <c r="N13" s="14"/>
      <c r="O13" s="14"/>
      <c r="P13" s="27">
        <v>200000</v>
      </c>
      <c r="Q13" s="13">
        <f t="shared" si="2"/>
        <v>3712000</v>
      </c>
      <c r="R13" s="23"/>
      <c r="S13" s="24">
        <f t="shared" si="3"/>
        <v>3712000</v>
      </c>
      <c r="T13" s="25"/>
      <c r="U13" s="25" t="s">
        <v>81</v>
      </c>
      <c r="V13" s="1"/>
      <c r="W13" s="1"/>
      <c r="X13" s="1"/>
      <c r="Y13" s="1"/>
      <c r="Z13" s="1"/>
      <c r="AA13" s="1"/>
    </row>
    <row r="14" spans="1:27" ht="13.8">
      <c r="A14" s="93">
        <v>105</v>
      </c>
      <c r="B14" s="34" t="s">
        <v>49</v>
      </c>
      <c r="C14" s="35">
        <v>792921499</v>
      </c>
      <c r="D14" s="36" t="s">
        <v>50</v>
      </c>
      <c r="E14" s="37">
        <v>3700000</v>
      </c>
      <c r="F14" s="37">
        <v>3200000</v>
      </c>
      <c r="G14" s="38">
        <v>2</v>
      </c>
      <c r="H14" s="34">
        <v>584</v>
      </c>
      <c r="I14" s="34">
        <v>687</v>
      </c>
      <c r="J14" s="12">
        <v>4000</v>
      </c>
      <c r="K14" s="13">
        <f t="shared" si="0"/>
        <v>412000</v>
      </c>
      <c r="L14" s="12">
        <v>100000</v>
      </c>
      <c r="M14" s="13">
        <f t="shared" si="1"/>
        <v>200000</v>
      </c>
      <c r="N14" s="14"/>
      <c r="O14" s="14"/>
      <c r="P14" s="37">
        <v>200000</v>
      </c>
      <c r="Q14" s="13">
        <f t="shared" si="2"/>
        <v>4012000</v>
      </c>
      <c r="R14" s="23"/>
      <c r="S14" s="24">
        <f t="shared" si="3"/>
        <v>4012000</v>
      </c>
      <c r="T14" s="39"/>
      <c r="U14" s="25" t="s">
        <v>83</v>
      </c>
      <c r="V14" s="1"/>
      <c r="W14" s="1"/>
      <c r="X14" s="1"/>
      <c r="Y14" s="1"/>
      <c r="Z14" s="1"/>
      <c r="AA14" s="1"/>
    </row>
    <row r="15" spans="1:27" ht="13.8">
      <c r="A15" s="94">
        <v>106</v>
      </c>
      <c r="B15" s="41" t="s">
        <v>52</v>
      </c>
      <c r="C15" s="42">
        <v>919929108</v>
      </c>
      <c r="D15" s="43" t="s">
        <v>43</v>
      </c>
      <c r="E15" s="44">
        <v>3500000</v>
      </c>
      <c r="F15" s="44">
        <v>3000000</v>
      </c>
      <c r="G15" s="45">
        <v>1</v>
      </c>
      <c r="H15" s="45">
        <v>1675</v>
      </c>
      <c r="I15" s="45">
        <v>1782</v>
      </c>
      <c r="J15" s="12">
        <v>4000</v>
      </c>
      <c r="K15" s="13">
        <f t="shared" si="0"/>
        <v>428000</v>
      </c>
      <c r="L15" s="12">
        <v>100000</v>
      </c>
      <c r="M15" s="13">
        <f t="shared" si="1"/>
        <v>100000</v>
      </c>
      <c r="N15" s="14"/>
      <c r="O15" s="14"/>
      <c r="P15" s="37">
        <v>200000</v>
      </c>
      <c r="Q15" s="13">
        <f t="shared" si="2"/>
        <v>3728000</v>
      </c>
      <c r="R15" s="23"/>
      <c r="S15" s="24">
        <f t="shared" si="3"/>
        <v>3728000</v>
      </c>
      <c r="T15" s="95"/>
      <c r="U15" s="25" t="s">
        <v>83</v>
      </c>
      <c r="V15" s="1"/>
      <c r="W15" s="1"/>
      <c r="X15" s="1"/>
      <c r="Y15" s="1"/>
      <c r="Z15" s="1"/>
      <c r="AA15" s="1"/>
    </row>
    <row r="16" spans="1:27" ht="13.8">
      <c r="A16" s="47"/>
      <c r="B16" s="48"/>
      <c r="C16" s="48"/>
      <c r="D16" s="49"/>
      <c r="E16" s="50">
        <f t="shared" ref="E16:G16" si="4">SUM(E5:E15)</f>
        <v>40000000</v>
      </c>
      <c r="F16" s="50">
        <f t="shared" si="4"/>
        <v>36000000</v>
      </c>
      <c r="G16" s="51">
        <f t="shared" si="4"/>
        <v>22</v>
      </c>
      <c r="H16" s="50"/>
      <c r="I16" s="50"/>
      <c r="J16" s="50"/>
      <c r="K16" s="50">
        <f>SUM(K5:K15)</f>
        <v>6412000</v>
      </c>
      <c r="L16" s="50"/>
      <c r="M16" s="50">
        <f>SUM(M5:M15)</f>
        <v>2200000</v>
      </c>
      <c r="N16" s="47"/>
      <c r="O16" s="47"/>
      <c r="P16" s="50">
        <f t="shared" ref="P16:Q16" si="5">SUM(P5:P15)</f>
        <v>2200000</v>
      </c>
      <c r="Q16" s="50">
        <f t="shared" si="5"/>
        <v>46812000</v>
      </c>
      <c r="R16" s="50"/>
      <c r="S16" s="47">
        <f>SUM(S5:S15)</f>
        <v>46812000</v>
      </c>
      <c r="T16" s="52"/>
      <c r="U16" s="52"/>
      <c r="V16" s="53"/>
      <c r="W16" s="53"/>
      <c r="X16" s="53"/>
      <c r="Y16" s="53"/>
      <c r="Z16" s="53"/>
      <c r="AA16" s="53"/>
    </row>
    <row r="17" spans="1:27" ht="13.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54"/>
      <c r="U17" s="54"/>
      <c r="V17" s="1"/>
      <c r="W17" s="1"/>
      <c r="X17" s="1"/>
      <c r="Y17" s="1"/>
      <c r="Z17" s="1"/>
      <c r="AA17" s="1"/>
    </row>
    <row r="18" spans="1:27" ht="13.8">
      <c r="A18" s="152" t="s">
        <v>54</v>
      </c>
      <c r="B18" s="141"/>
      <c r="C18" s="141"/>
      <c r="D18" s="141"/>
      <c r="E18" s="142"/>
      <c r="F18" s="5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8">
      <c r="A19" s="153" t="str">
        <f>A1</f>
        <v>K7: 14-21-2 PHẠM HÙNG, BÌNH CHÁNH</v>
      </c>
      <c r="B19" s="144"/>
      <c r="C19" s="144"/>
      <c r="D19" s="144"/>
      <c r="E19" s="145"/>
      <c r="F19" s="5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54" t="s">
        <v>55</v>
      </c>
      <c r="B20" s="57" t="s">
        <v>56</v>
      </c>
      <c r="C20" s="57" t="s">
        <v>57</v>
      </c>
      <c r="D20" s="57" t="s">
        <v>58</v>
      </c>
      <c r="E20" s="57" t="s">
        <v>59</v>
      </c>
      <c r="F20" s="5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55"/>
      <c r="B21" s="58" t="s">
        <v>84</v>
      </c>
      <c r="C21" s="59">
        <f>F16</f>
        <v>36000000</v>
      </c>
      <c r="D21" s="60">
        <v>15000000</v>
      </c>
      <c r="E21" s="59">
        <f t="shared" ref="E21:E28" si="6">C21-D21</f>
        <v>21000000</v>
      </c>
      <c r="F21" s="96" t="s">
        <v>85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55"/>
      <c r="B22" s="62" t="s">
        <v>62</v>
      </c>
      <c r="C22" s="59">
        <f>K16</f>
        <v>6412000</v>
      </c>
      <c r="D22" s="63">
        <v>6974921</v>
      </c>
      <c r="E22" s="59">
        <f t="shared" si="6"/>
        <v>-562921</v>
      </c>
      <c r="F22" s="96" t="s">
        <v>86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55"/>
      <c r="B23" s="65" t="s">
        <v>64</v>
      </c>
      <c r="C23" s="59">
        <f>M16</f>
        <v>2200000</v>
      </c>
      <c r="D23" s="60">
        <v>4760952</v>
      </c>
      <c r="E23" s="59">
        <f t="shared" si="6"/>
        <v>-2560952</v>
      </c>
      <c r="F23" s="97" t="s">
        <v>87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55"/>
      <c r="B24" s="66" t="s">
        <v>66</v>
      </c>
      <c r="C24" s="60">
        <v>0</v>
      </c>
      <c r="D24" s="60">
        <v>299000</v>
      </c>
      <c r="E24" s="59">
        <f t="shared" si="6"/>
        <v>-299000</v>
      </c>
      <c r="F24" s="96" t="s">
        <v>86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55"/>
      <c r="B25" s="68" t="s">
        <v>67</v>
      </c>
      <c r="C25" s="60">
        <v>0</v>
      </c>
      <c r="D25" s="60"/>
      <c r="E25" s="59">
        <f t="shared" si="6"/>
        <v>0</v>
      </c>
      <c r="F25" s="5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55"/>
      <c r="B26" s="69" t="s">
        <v>68</v>
      </c>
      <c r="C26" s="70">
        <v>0</v>
      </c>
      <c r="D26" s="71">
        <v>4000000</v>
      </c>
      <c r="E26" s="71">
        <f t="shared" si="6"/>
        <v>-4000000</v>
      </c>
      <c r="F26" s="7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55"/>
      <c r="B27" s="69" t="s">
        <v>69</v>
      </c>
      <c r="C27" s="71">
        <f>P16</f>
        <v>2200000</v>
      </c>
      <c r="D27" s="71">
        <v>1000000</v>
      </c>
      <c r="E27" s="71">
        <f t="shared" si="6"/>
        <v>1200000</v>
      </c>
      <c r="F27" s="7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39"/>
      <c r="B28" s="69" t="s">
        <v>70</v>
      </c>
      <c r="C28" s="71">
        <f>O16</f>
        <v>0</v>
      </c>
      <c r="D28" s="71">
        <v>700000</v>
      </c>
      <c r="E28" s="71">
        <f t="shared" si="6"/>
        <v>-700000</v>
      </c>
      <c r="F28" s="7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73"/>
      <c r="B29" s="47" t="s">
        <v>71</v>
      </c>
      <c r="C29" s="74">
        <f t="shared" ref="C29:E29" si="7">SUM(C21:C28)</f>
        <v>46812000</v>
      </c>
      <c r="D29" s="74">
        <f t="shared" si="7"/>
        <v>32734873</v>
      </c>
      <c r="E29" s="74">
        <f t="shared" si="7"/>
        <v>14077127</v>
      </c>
      <c r="F29" s="75">
        <f>E29/C29</f>
        <v>0.30071620524651799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76"/>
      <c r="B30" s="76"/>
      <c r="C30" s="76"/>
      <c r="D30" s="76"/>
      <c r="E30" s="77"/>
      <c r="F30" s="7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outlineLevel="1">
      <c r="A31" s="146" t="s">
        <v>72</v>
      </c>
      <c r="B31" s="147"/>
      <c r="C31" s="147"/>
      <c r="D31" s="147"/>
      <c r="E31" s="79">
        <v>250000000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outlineLevel="1">
      <c r="A32" s="1"/>
      <c r="B32" s="1"/>
      <c r="C32" s="1"/>
      <c r="D32" s="1"/>
      <c r="E32" s="80">
        <f>E29/E31</f>
        <v>5.6308508E-2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48"/>
      <c r="B33" s="148"/>
      <c r="C33" s="148"/>
      <c r="D33" s="148"/>
      <c r="E33" s="156"/>
      <c r="F33" s="148"/>
      <c r="G33" s="148"/>
      <c r="H33" s="148"/>
      <c r="I33" s="147"/>
      <c r="J33" s="147"/>
      <c r="K33" s="147"/>
      <c r="L33" s="148"/>
      <c r="M33" s="147"/>
      <c r="N33" s="148"/>
      <c r="O33" s="148"/>
      <c r="P33" s="148"/>
      <c r="Q33" s="148"/>
      <c r="R33" s="148"/>
      <c r="S33" s="148"/>
      <c r="T33" s="81"/>
      <c r="U33" s="148"/>
      <c r="V33" s="1"/>
      <c r="W33" s="1"/>
      <c r="X33" s="1"/>
      <c r="Y33" s="1"/>
      <c r="Z33" s="1"/>
      <c r="AA33" s="1"/>
    </row>
    <row r="34" spans="1:27" ht="15.75" customHeight="1">
      <c r="A34" s="147"/>
      <c r="B34" s="147"/>
      <c r="C34" s="147"/>
      <c r="D34" s="147"/>
      <c r="E34" s="147"/>
      <c r="F34" s="147"/>
      <c r="G34" s="147"/>
      <c r="H34" s="81"/>
      <c r="I34" s="81"/>
      <c r="J34" s="81"/>
      <c r="K34" s="81"/>
      <c r="L34" s="81"/>
      <c r="M34" s="81"/>
      <c r="N34" s="147"/>
      <c r="O34" s="147"/>
      <c r="P34" s="147"/>
      <c r="Q34" s="147"/>
      <c r="R34" s="147"/>
      <c r="S34" s="147"/>
      <c r="T34" s="81"/>
      <c r="U34" s="147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</sheetData>
  <mergeCells count="38">
    <mergeCell ref="A31:D31"/>
    <mergeCell ref="A33:A34"/>
    <mergeCell ref="H33:K33"/>
    <mergeCell ref="B33:B34"/>
    <mergeCell ref="C33:C34"/>
    <mergeCell ref="G3:G4"/>
    <mergeCell ref="H3:K3"/>
    <mergeCell ref="A18:E18"/>
    <mergeCell ref="A19:E19"/>
    <mergeCell ref="A20:A28"/>
    <mergeCell ref="R3:R4"/>
    <mergeCell ref="S3:S4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L3:M3"/>
    <mergeCell ref="N3:N4"/>
    <mergeCell ref="O3:O4"/>
    <mergeCell ref="P3:P4"/>
    <mergeCell ref="Q3:Q4"/>
    <mergeCell ref="R33:R34"/>
    <mergeCell ref="S33:S34"/>
    <mergeCell ref="U33:U34"/>
    <mergeCell ref="D33:D34"/>
    <mergeCell ref="E33:E34"/>
    <mergeCell ref="L33:M33"/>
    <mergeCell ref="N33:N34"/>
    <mergeCell ref="O33:O34"/>
    <mergeCell ref="P33:P34"/>
    <mergeCell ref="Q33:Q34"/>
    <mergeCell ref="F33:F34"/>
    <mergeCell ref="G33:G3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59765625" defaultRowHeight="15" customHeight="1" outlineLevelRow="1"/>
  <cols>
    <col min="1" max="1" width="9" customWidth="1"/>
    <col min="2" max="2" width="22.09765625" customWidth="1"/>
    <col min="3" max="3" width="14.59765625" customWidth="1"/>
    <col min="4" max="4" width="19.69921875" customWidth="1"/>
    <col min="5" max="5" width="12.5" customWidth="1"/>
    <col min="6" max="6" width="16.59765625" customWidth="1"/>
    <col min="7" max="7" width="12" customWidth="1"/>
    <col min="8" max="8" width="6.8984375" customWidth="1"/>
    <col min="9" max="9" width="8" customWidth="1"/>
    <col min="10" max="10" width="13.8984375" customWidth="1"/>
    <col min="11" max="11" width="12.3984375" customWidth="1"/>
    <col min="12" max="12" width="11.59765625" customWidth="1"/>
    <col min="13" max="13" width="12.3984375" customWidth="1"/>
    <col min="14" max="14" width="5.8984375" customWidth="1"/>
    <col min="15" max="15" width="7.8984375" customWidth="1"/>
    <col min="16" max="16" width="10.19921875" customWidth="1"/>
    <col min="17" max="17" width="11.19921875" customWidth="1"/>
    <col min="18" max="18" width="8.5" customWidth="1"/>
    <col min="19" max="19" width="11.19921875" customWidth="1"/>
    <col min="20" max="20" width="12.3984375" customWidth="1"/>
    <col min="21" max="21" width="52.5" customWidth="1"/>
    <col min="22" max="26" width="7.69921875" customWidth="1"/>
  </cols>
  <sheetData>
    <row r="1" spans="1:26" ht="13.8">
      <c r="A1" s="140" t="s">
        <v>88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2"/>
      <c r="V1" s="98"/>
      <c r="W1" s="98"/>
      <c r="X1" s="98"/>
      <c r="Y1" s="98"/>
      <c r="Z1" s="98"/>
    </row>
    <row r="2" spans="1:26" ht="13.8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5"/>
      <c r="V2" s="98"/>
      <c r="W2" s="98"/>
      <c r="X2" s="98"/>
      <c r="Y2" s="98"/>
      <c r="Z2" s="98"/>
    </row>
    <row r="3" spans="1:26" ht="13.8">
      <c r="A3" s="157" t="s">
        <v>1</v>
      </c>
      <c r="B3" s="157" t="s">
        <v>2</v>
      </c>
      <c r="C3" s="157" t="s">
        <v>3</v>
      </c>
      <c r="D3" s="157" t="s">
        <v>4</v>
      </c>
      <c r="E3" s="157" t="s">
        <v>5</v>
      </c>
      <c r="F3" s="157" t="s">
        <v>6</v>
      </c>
      <c r="G3" s="157" t="s">
        <v>7</v>
      </c>
      <c r="H3" s="159" t="s">
        <v>8</v>
      </c>
      <c r="I3" s="151"/>
      <c r="J3" s="151"/>
      <c r="K3" s="150"/>
      <c r="L3" s="159" t="s">
        <v>9</v>
      </c>
      <c r="M3" s="150"/>
      <c r="N3" s="157" t="s">
        <v>10</v>
      </c>
      <c r="O3" s="157" t="s">
        <v>11</v>
      </c>
      <c r="P3" s="157" t="s">
        <v>12</v>
      </c>
      <c r="Q3" s="157" t="s">
        <v>13</v>
      </c>
      <c r="R3" s="157" t="s">
        <v>14</v>
      </c>
      <c r="S3" s="157" t="s">
        <v>15</v>
      </c>
      <c r="T3" s="138" t="s">
        <v>16</v>
      </c>
      <c r="U3" s="157" t="s">
        <v>17</v>
      </c>
      <c r="V3" s="98"/>
      <c r="W3" s="98"/>
      <c r="X3" s="98"/>
      <c r="Y3" s="98"/>
      <c r="Z3" s="98"/>
    </row>
    <row r="4" spans="1:26" ht="13.8">
      <c r="A4" s="139"/>
      <c r="B4" s="139"/>
      <c r="C4" s="139"/>
      <c r="D4" s="139"/>
      <c r="E4" s="139"/>
      <c r="F4" s="139"/>
      <c r="G4" s="139"/>
      <c r="H4" s="99" t="s">
        <v>89</v>
      </c>
      <c r="I4" s="99" t="s">
        <v>19</v>
      </c>
      <c r="J4" s="99" t="s">
        <v>90</v>
      </c>
      <c r="K4" s="99" t="s">
        <v>21</v>
      </c>
      <c r="L4" s="99" t="s">
        <v>91</v>
      </c>
      <c r="M4" s="99" t="s">
        <v>21</v>
      </c>
      <c r="N4" s="139"/>
      <c r="O4" s="139"/>
      <c r="P4" s="139"/>
      <c r="Q4" s="139"/>
      <c r="R4" s="139"/>
      <c r="S4" s="139"/>
      <c r="T4" s="139"/>
      <c r="U4" s="139"/>
      <c r="V4" s="98"/>
      <c r="W4" s="98"/>
      <c r="X4" s="98"/>
      <c r="Y4" s="98"/>
      <c r="Z4" s="98"/>
    </row>
    <row r="5" spans="1:26" ht="13.8">
      <c r="A5" s="100" t="s">
        <v>23</v>
      </c>
      <c r="B5" s="101" t="s">
        <v>24</v>
      </c>
      <c r="C5" s="102" t="s">
        <v>92</v>
      </c>
      <c r="D5" s="103" t="s">
        <v>25</v>
      </c>
      <c r="E5" s="13">
        <v>3500000</v>
      </c>
      <c r="F5" s="13">
        <v>3500000</v>
      </c>
      <c r="G5" s="104">
        <v>2</v>
      </c>
      <c r="H5" s="13">
        <v>1528</v>
      </c>
      <c r="I5" s="13">
        <v>1605</v>
      </c>
      <c r="J5" s="13">
        <v>4000</v>
      </c>
      <c r="K5" s="13">
        <f t="shared" ref="K5:K15" si="0">(I5-H5)*J5</f>
        <v>308000</v>
      </c>
      <c r="L5" s="13">
        <v>100000</v>
      </c>
      <c r="M5" s="13">
        <f t="shared" ref="M5:M12" si="1">L5*G5</f>
        <v>200000</v>
      </c>
      <c r="N5" s="13"/>
      <c r="O5" s="13"/>
      <c r="P5" s="13">
        <v>50000</v>
      </c>
      <c r="Q5" s="13">
        <f>F5+K5+M5+O5+P5</f>
        <v>4058000</v>
      </c>
      <c r="R5" s="15"/>
      <c r="S5" s="105">
        <f t="shared" ref="S5:S15" si="2">Q5-R5</f>
        <v>4058000</v>
      </c>
      <c r="T5" s="106"/>
      <c r="U5" s="107" t="s">
        <v>93</v>
      </c>
      <c r="V5" s="98"/>
      <c r="W5" s="98"/>
      <c r="X5" s="98"/>
      <c r="Y5" s="98"/>
      <c r="Z5" s="98"/>
    </row>
    <row r="6" spans="1:26" ht="13.8">
      <c r="A6" s="100" t="s">
        <v>27</v>
      </c>
      <c r="B6" s="101" t="s">
        <v>28</v>
      </c>
      <c r="C6" s="108" t="s">
        <v>94</v>
      </c>
      <c r="D6" s="109" t="s">
        <v>29</v>
      </c>
      <c r="E6" s="23">
        <v>4000000</v>
      </c>
      <c r="F6" s="23">
        <v>3500000</v>
      </c>
      <c r="G6" s="110">
        <v>2</v>
      </c>
      <c r="H6" s="13">
        <v>2413</v>
      </c>
      <c r="I6" s="13">
        <v>2528</v>
      </c>
      <c r="J6" s="23">
        <v>4000</v>
      </c>
      <c r="K6" s="102">
        <f t="shared" si="0"/>
        <v>460000</v>
      </c>
      <c r="L6" s="13">
        <v>100000</v>
      </c>
      <c r="M6" s="13">
        <f t="shared" si="1"/>
        <v>200000</v>
      </c>
      <c r="N6" s="106"/>
      <c r="O6" s="23"/>
      <c r="P6" s="23">
        <v>200000</v>
      </c>
      <c r="Q6" s="13">
        <f t="shared" ref="Q6:Q7" si="3">F6+K6+M6+P6+O6</f>
        <v>4360000</v>
      </c>
      <c r="R6" s="23"/>
      <c r="S6" s="16">
        <f t="shared" si="2"/>
        <v>4360000</v>
      </c>
      <c r="T6" s="16"/>
      <c r="U6" s="111" t="s">
        <v>95</v>
      </c>
      <c r="V6" s="98"/>
      <c r="W6" s="98"/>
      <c r="X6" s="98"/>
      <c r="Y6" s="98"/>
      <c r="Z6" s="98"/>
    </row>
    <row r="7" spans="1:26" ht="13.8">
      <c r="A7" s="100" t="s">
        <v>31</v>
      </c>
      <c r="B7" s="101" t="s">
        <v>32</v>
      </c>
      <c r="C7" s="102" t="s">
        <v>96</v>
      </c>
      <c r="D7" s="109" t="s">
        <v>25</v>
      </c>
      <c r="E7" s="106">
        <v>3800000</v>
      </c>
      <c r="F7" s="106">
        <v>3600000</v>
      </c>
      <c r="G7" s="110">
        <v>3</v>
      </c>
      <c r="H7" s="13">
        <v>1889</v>
      </c>
      <c r="I7" s="13">
        <v>2055</v>
      </c>
      <c r="J7" s="106">
        <v>4000</v>
      </c>
      <c r="K7" s="102">
        <f t="shared" si="0"/>
        <v>664000</v>
      </c>
      <c r="L7" s="13">
        <v>100000</v>
      </c>
      <c r="M7" s="13">
        <f t="shared" si="1"/>
        <v>300000</v>
      </c>
      <c r="N7" s="106"/>
      <c r="O7" s="106"/>
      <c r="P7" s="106">
        <v>250000</v>
      </c>
      <c r="Q7" s="13">
        <f t="shared" si="3"/>
        <v>4814000</v>
      </c>
      <c r="R7" s="23"/>
      <c r="S7" s="112">
        <f t="shared" si="2"/>
        <v>4814000</v>
      </c>
      <c r="T7" s="106"/>
      <c r="U7" s="113" t="s">
        <v>97</v>
      </c>
      <c r="V7" s="98"/>
      <c r="W7" s="98"/>
      <c r="X7" s="98"/>
      <c r="Y7" s="98"/>
      <c r="Z7" s="98"/>
    </row>
    <row r="8" spans="1:26" ht="13.8">
      <c r="A8" s="100" t="s">
        <v>34</v>
      </c>
      <c r="B8" s="101" t="s">
        <v>35</v>
      </c>
      <c r="C8" s="100" t="s">
        <v>98</v>
      </c>
      <c r="D8" s="109" t="s">
        <v>36</v>
      </c>
      <c r="E8" s="106">
        <v>3800000</v>
      </c>
      <c r="F8" s="106">
        <v>3300000</v>
      </c>
      <c r="G8" s="110">
        <v>3</v>
      </c>
      <c r="H8" s="13">
        <v>1121</v>
      </c>
      <c r="I8" s="13">
        <v>1189</v>
      </c>
      <c r="J8" s="106">
        <v>4000</v>
      </c>
      <c r="K8" s="102">
        <f t="shared" si="0"/>
        <v>272000</v>
      </c>
      <c r="L8" s="13">
        <v>100000</v>
      </c>
      <c r="M8" s="13">
        <f t="shared" si="1"/>
        <v>300000</v>
      </c>
      <c r="N8" s="106"/>
      <c r="O8" s="106"/>
      <c r="P8" s="106">
        <v>250000</v>
      </c>
      <c r="Q8" s="13">
        <f>F8+K8+M8+O8+P8</f>
        <v>4122000</v>
      </c>
      <c r="R8" s="23"/>
      <c r="S8" s="16">
        <f t="shared" si="2"/>
        <v>4122000</v>
      </c>
      <c r="T8" s="16"/>
      <c r="U8" s="111" t="s">
        <v>95</v>
      </c>
      <c r="V8" s="98"/>
      <c r="W8" s="98"/>
      <c r="X8" s="98"/>
      <c r="Y8" s="98"/>
      <c r="Z8" s="98"/>
    </row>
    <row r="9" spans="1:26" ht="13.8">
      <c r="A9" s="100" t="s">
        <v>38</v>
      </c>
      <c r="B9" s="101" t="s">
        <v>39</v>
      </c>
      <c r="C9" s="100" t="s">
        <v>99</v>
      </c>
      <c r="D9" s="109" t="s">
        <v>40</v>
      </c>
      <c r="E9" s="106">
        <v>3800000</v>
      </c>
      <c r="F9" s="106">
        <v>3300000</v>
      </c>
      <c r="G9" s="110">
        <v>2</v>
      </c>
      <c r="H9" s="13">
        <v>2274</v>
      </c>
      <c r="I9" s="13">
        <v>2564</v>
      </c>
      <c r="J9" s="106">
        <v>4000</v>
      </c>
      <c r="K9" s="102">
        <f t="shared" si="0"/>
        <v>1160000</v>
      </c>
      <c r="L9" s="13">
        <v>100000</v>
      </c>
      <c r="M9" s="13">
        <f t="shared" si="1"/>
        <v>200000</v>
      </c>
      <c r="N9" s="106"/>
      <c r="O9" s="106"/>
      <c r="P9" s="106">
        <v>200000</v>
      </c>
      <c r="Q9" s="13">
        <f t="shared" ref="Q9:Q10" si="4">F9+K9+M9+P9+O9</f>
        <v>4860000</v>
      </c>
      <c r="R9" s="23"/>
      <c r="S9" s="105">
        <f t="shared" si="2"/>
        <v>4860000</v>
      </c>
      <c r="T9" s="106"/>
      <c r="U9" s="114" t="s">
        <v>100</v>
      </c>
      <c r="V9" s="98"/>
      <c r="W9" s="98"/>
      <c r="X9" s="98"/>
      <c r="Y9" s="98"/>
      <c r="Z9" s="98"/>
    </row>
    <row r="10" spans="1:26" ht="13.8">
      <c r="A10" s="106">
        <v>101</v>
      </c>
      <c r="B10" s="101" t="s">
        <v>42</v>
      </c>
      <c r="C10" s="100" t="s">
        <v>101</v>
      </c>
      <c r="D10" s="109" t="s">
        <v>36</v>
      </c>
      <c r="E10" s="106">
        <v>3200000</v>
      </c>
      <c r="F10" s="106">
        <v>2600000</v>
      </c>
      <c r="G10" s="110">
        <v>1</v>
      </c>
      <c r="H10" s="13">
        <v>3490</v>
      </c>
      <c r="I10" s="13">
        <v>3767</v>
      </c>
      <c r="J10" s="106">
        <v>4000</v>
      </c>
      <c r="K10" s="102">
        <f t="shared" si="0"/>
        <v>1108000</v>
      </c>
      <c r="L10" s="13">
        <v>100000</v>
      </c>
      <c r="M10" s="13">
        <f t="shared" si="1"/>
        <v>100000</v>
      </c>
      <c r="N10" s="106"/>
      <c r="O10" s="106"/>
      <c r="P10" s="106">
        <v>200000</v>
      </c>
      <c r="Q10" s="13">
        <f t="shared" si="4"/>
        <v>4008000</v>
      </c>
      <c r="R10" s="23"/>
      <c r="S10" s="112">
        <f t="shared" si="2"/>
        <v>4008000</v>
      </c>
      <c r="T10" s="106"/>
      <c r="U10" s="115" t="s">
        <v>102</v>
      </c>
      <c r="V10" s="98"/>
      <c r="W10" s="98"/>
      <c r="X10" s="98"/>
      <c r="Y10" s="98"/>
      <c r="Z10" s="98"/>
    </row>
    <row r="11" spans="1:26" ht="13.8">
      <c r="A11" s="106">
        <v>102</v>
      </c>
      <c r="B11" s="101" t="s">
        <v>44</v>
      </c>
      <c r="C11" s="100" t="s">
        <v>103</v>
      </c>
      <c r="D11" s="109" t="s">
        <v>43</v>
      </c>
      <c r="E11" s="106">
        <v>3200000</v>
      </c>
      <c r="F11" s="106">
        <v>3000000</v>
      </c>
      <c r="G11" s="110">
        <v>2</v>
      </c>
      <c r="H11" s="13">
        <v>1175</v>
      </c>
      <c r="I11" s="13">
        <v>1281</v>
      </c>
      <c r="J11" s="106">
        <v>4000</v>
      </c>
      <c r="K11" s="102">
        <f t="shared" si="0"/>
        <v>424000</v>
      </c>
      <c r="L11" s="13">
        <v>100000</v>
      </c>
      <c r="M11" s="13">
        <f t="shared" si="1"/>
        <v>200000</v>
      </c>
      <c r="N11" s="106"/>
      <c r="O11" s="106"/>
      <c r="P11" s="106">
        <v>200000</v>
      </c>
      <c r="Q11" s="13">
        <f>F11+K11+M11+O11+P11</f>
        <v>3824000</v>
      </c>
      <c r="R11" s="23"/>
      <c r="S11" s="16">
        <f t="shared" si="2"/>
        <v>3824000</v>
      </c>
      <c r="T11" s="16"/>
      <c r="U11" s="111" t="s">
        <v>104</v>
      </c>
      <c r="V11" s="98"/>
      <c r="W11" s="98"/>
      <c r="X11" s="98"/>
      <c r="Y11" s="98"/>
      <c r="Z11" s="98"/>
    </row>
    <row r="12" spans="1:26" ht="13.8">
      <c r="A12" s="106">
        <v>103</v>
      </c>
      <c r="B12" s="106" t="s">
        <v>46</v>
      </c>
      <c r="C12" s="100" t="s">
        <v>105</v>
      </c>
      <c r="D12" s="109" t="s">
        <v>25</v>
      </c>
      <c r="E12" s="106">
        <v>4500000</v>
      </c>
      <c r="F12" s="106">
        <v>4000000</v>
      </c>
      <c r="G12" s="110">
        <v>3</v>
      </c>
      <c r="H12" s="13">
        <v>1313</v>
      </c>
      <c r="I12" s="13">
        <v>1408</v>
      </c>
      <c r="J12" s="106">
        <v>4000</v>
      </c>
      <c r="K12" s="102">
        <f t="shared" si="0"/>
        <v>380000</v>
      </c>
      <c r="L12" s="13">
        <v>100000</v>
      </c>
      <c r="M12" s="13">
        <f t="shared" si="1"/>
        <v>300000</v>
      </c>
      <c r="N12" s="106"/>
      <c r="O12" s="106"/>
      <c r="P12" s="106">
        <v>250000</v>
      </c>
      <c r="Q12" s="13">
        <f>F12+K12+M12+P12</f>
        <v>4930000</v>
      </c>
      <c r="R12" s="23"/>
      <c r="S12" s="112">
        <f t="shared" si="2"/>
        <v>4930000</v>
      </c>
      <c r="T12" s="112"/>
      <c r="U12" s="111" t="s">
        <v>104</v>
      </c>
      <c r="V12" s="98"/>
      <c r="W12" s="98"/>
      <c r="X12" s="98"/>
      <c r="Y12" s="98"/>
      <c r="Z12" s="98"/>
    </row>
    <row r="13" spans="1:26" ht="13.8">
      <c r="A13" s="106">
        <v>104</v>
      </c>
      <c r="B13" s="106" t="s">
        <v>47</v>
      </c>
      <c r="C13" s="100" t="s">
        <v>106</v>
      </c>
      <c r="D13" s="109" t="s">
        <v>25</v>
      </c>
      <c r="E13" s="106">
        <v>3000000</v>
      </c>
      <c r="F13" s="106">
        <v>3000000</v>
      </c>
      <c r="G13" s="110">
        <v>1</v>
      </c>
      <c r="H13" s="13">
        <v>1472</v>
      </c>
      <c r="I13" s="13">
        <v>1555</v>
      </c>
      <c r="J13" s="106">
        <v>4000</v>
      </c>
      <c r="K13" s="102">
        <f t="shared" si="0"/>
        <v>332000</v>
      </c>
      <c r="L13" s="13">
        <v>100000</v>
      </c>
      <c r="M13" s="13">
        <f t="shared" ref="M13:M14" si="5">G13*L13</f>
        <v>100000</v>
      </c>
      <c r="N13" s="106"/>
      <c r="O13" s="106"/>
      <c r="P13" s="106">
        <v>200000</v>
      </c>
      <c r="Q13" s="13">
        <f>K13+M13+O13+P13+F13</f>
        <v>3632000</v>
      </c>
      <c r="R13" s="23"/>
      <c r="S13" s="112">
        <f t="shared" si="2"/>
        <v>3632000</v>
      </c>
      <c r="T13" s="112"/>
      <c r="U13" s="111" t="s">
        <v>104</v>
      </c>
      <c r="V13" s="98"/>
      <c r="W13" s="98"/>
      <c r="X13" s="98"/>
      <c r="Y13" s="98"/>
      <c r="Z13" s="98"/>
    </row>
    <row r="14" spans="1:26" ht="13.8">
      <c r="A14" s="106">
        <v>105</v>
      </c>
      <c r="B14" s="106" t="s">
        <v>49</v>
      </c>
      <c r="C14" s="100" t="s">
        <v>107</v>
      </c>
      <c r="D14" s="109" t="s">
        <v>50</v>
      </c>
      <c r="E14" s="106">
        <v>3700000</v>
      </c>
      <c r="F14" s="106">
        <v>3200000</v>
      </c>
      <c r="G14" s="116">
        <v>1</v>
      </c>
      <c r="H14" s="13">
        <v>501</v>
      </c>
      <c r="I14" s="13">
        <v>584</v>
      </c>
      <c r="J14" s="106">
        <v>4000</v>
      </c>
      <c r="K14" s="102">
        <f t="shared" si="0"/>
        <v>332000</v>
      </c>
      <c r="L14" s="13">
        <v>100000</v>
      </c>
      <c r="M14" s="13">
        <f t="shared" si="5"/>
        <v>100000</v>
      </c>
      <c r="N14" s="106"/>
      <c r="O14" s="106"/>
      <c r="P14" s="106">
        <v>200000</v>
      </c>
      <c r="Q14" s="13">
        <f t="shared" ref="Q14:Q15" si="6">F14+K14+M14+P14</f>
        <v>3832000</v>
      </c>
      <c r="R14" s="23"/>
      <c r="S14" s="112">
        <f t="shared" si="2"/>
        <v>3832000</v>
      </c>
      <c r="T14" s="112"/>
      <c r="U14" s="115" t="s">
        <v>108</v>
      </c>
      <c r="V14" s="98"/>
      <c r="W14" s="98"/>
      <c r="X14" s="98"/>
      <c r="Y14" s="98"/>
      <c r="Z14" s="98"/>
    </row>
    <row r="15" spans="1:26" ht="13.8">
      <c r="A15" s="106">
        <v>106</v>
      </c>
      <c r="B15" s="106" t="s">
        <v>52</v>
      </c>
      <c r="C15" s="100" t="s">
        <v>109</v>
      </c>
      <c r="D15" s="109" t="s">
        <v>43</v>
      </c>
      <c r="E15" s="106">
        <v>3500000</v>
      </c>
      <c r="F15" s="106">
        <v>3000000</v>
      </c>
      <c r="G15" s="110">
        <v>1</v>
      </c>
      <c r="H15" s="23">
        <v>1564</v>
      </c>
      <c r="I15" s="23">
        <v>1675</v>
      </c>
      <c r="J15" s="106">
        <v>4000</v>
      </c>
      <c r="K15" s="23">
        <f t="shared" si="0"/>
        <v>444000</v>
      </c>
      <c r="L15" s="23">
        <v>100000</v>
      </c>
      <c r="M15" s="106">
        <f>L15*G15</f>
        <v>100000</v>
      </c>
      <c r="N15" s="106"/>
      <c r="O15" s="106"/>
      <c r="P15" s="106">
        <v>200000</v>
      </c>
      <c r="Q15" s="23">
        <f t="shared" si="6"/>
        <v>3744000</v>
      </c>
      <c r="R15" s="23"/>
      <c r="S15" s="112">
        <f t="shared" si="2"/>
        <v>3744000</v>
      </c>
      <c r="T15" s="106"/>
      <c r="U15" s="113" t="s">
        <v>110</v>
      </c>
      <c r="V15" s="98"/>
      <c r="W15" s="98"/>
      <c r="X15" s="98"/>
      <c r="Y15" s="98"/>
      <c r="Z15" s="98"/>
    </row>
    <row r="16" spans="1:26" ht="15.6">
      <c r="A16" s="117"/>
      <c r="B16" s="118" t="s">
        <v>111</v>
      </c>
      <c r="C16" s="118"/>
      <c r="D16" s="119"/>
      <c r="E16" s="120">
        <f t="shared" ref="E16:G16" si="7">SUM(E5:E15)</f>
        <v>40000000</v>
      </c>
      <c r="F16" s="120">
        <f t="shared" si="7"/>
        <v>36000000</v>
      </c>
      <c r="G16" s="121">
        <f t="shared" si="7"/>
        <v>21</v>
      </c>
      <c r="H16" s="120"/>
      <c r="I16" s="120"/>
      <c r="J16" s="120"/>
      <c r="K16" s="120">
        <f>SUM(K5:K15)</f>
        <v>5884000</v>
      </c>
      <c r="L16" s="120"/>
      <c r="M16" s="120">
        <f t="shared" ref="M16:Q16" si="8">SUM(M5:M15)</f>
        <v>2100000</v>
      </c>
      <c r="N16" s="117">
        <f t="shared" si="8"/>
        <v>0</v>
      </c>
      <c r="O16" s="117">
        <f t="shared" si="8"/>
        <v>0</v>
      </c>
      <c r="P16" s="120">
        <f t="shared" si="8"/>
        <v>2200000</v>
      </c>
      <c r="Q16" s="120">
        <f t="shared" si="8"/>
        <v>46184000</v>
      </c>
      <c r="R16" s="120">
        <f>SUM(R5:R12)</f>
        <v>0</v>
      </c>
      <c r="S16" s="117">
        <f>SUM(S5:S15)</f>
        <v>46184000</v>
      </c>
      <c r="T16" s="117"/>
      <c r="U16" s="117"/>
      <c r="V16" s="98"/>
      <c r="W16" s="98"/>
      <c r="X16" s="98"/>
      <c r="Y16" s="98"/>
      <c r="Z16" s="98"/>
    </row>
    <row r="17" spans="1:26" ht="13.8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13.8">
      <c r="A18" s="152" t="s">
        <v>54</v>
      </c>
      <c r="B18" s="141"/>
      <c r="C18" s="141"/>
      <c r="D18" s="141"/>
      <c r="E18" s="142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13.8">
      <c r="A19" s="153" t="str">
        <f>A1</f>
        <v>K7: C1 PHẠM HÙNG, BÌNH CHÁNH</v>
      </c>
      <c r="B19" s="144"/>
      <c r="C19" s="144"/>
      <c r="D19" s="144"/>
      <c r="E19" s="145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15" customHeight="1">
      <c r="A20" s="160" t="s">
        <v>55</v>
      </c>
      <c r="B20" s="57" t="s">
        <v>56</v>
      </c>
      <c r="C20" s="57" t="s">
        <v>57</v>
      </c>
      <c r="D20" s="57" t="s">
        <v>58</v>
      </c>
      <c r="E20" s="57" t="s">
        <v>59</v>
      </c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15.75" customHeight="1">
      <c r="A21" s="155"/>
      <c r="B21" s="66" t="s">
        <v>112</v>
      </c>
      <c r="C21" s="59">
        <f>F16</f>
        <v>36000000</v>
      </c>
      <c r="D21" s="59">
        <v>15000000</v>
      </c>
      <c r="E21" s="59">
        <f t="shared" ref="E21:E28" si="9">C21-D21</f>
        <v>21000000</v>
      </c>
      <c r="F21" s="61" t="s">
        <v>113</v>
      </c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15.75" customHeight="1">
      <c r="A22" s="155"/>
      <c r="B22" s="62" t="s">
        <v>62</v>
      </c>
      <c r="C22" s="59">
        <f>K16</f>
        <v>5884000</v>
      </c>
      <c r="D22" s="60">
        <v>6178982</v>
      </c>
      <c r="E22" s="59">
        <f t="shared" si="9"/>
        <v>-294982</v>
      </c>
      <c r="F22" s="61" t="s">
        <v>114</v>
      </c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15.75" customHeight="1">
      <c r="A23" s="155"/>
      <c r="B23" s="65" t="s">
        <v>64</v>
      </c>
      <c r="C23" s="59">
        <f>M16</f>
        <v>2100000</v>
      </c>
      <c r="D23" s="60">
        <v>1890378</v>
      </c>
      <c r="E23" s="59">
        <f t="shared" si="9"/>
        <v>209622</v>
      </c>
      <c r="F23" s="61" t="s">
        <v>115</v>
      </c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15.75" customHeight="1">
      <c r="A24" s="155"/>
      <c r="B24" s="66" t="s">
        <v>66</v>
      </c>
      <c r="C24" s="59"/>
      <c r="D24" s="63">
        <v>299000</v>
      </c>
      <c r="E24" s="59">
        <f t="shared" si="9"/>
        <v>-299000</v>
      </c>
      <c r="F24" s="61" t="s">
        <v>116</v>
      </c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15.75" customHeight="1">
      <c r="A25" s="155"/>
      <c r="B25" s="68" t="s">
        <v>67</v>
      </c>
      <c r="C25" s="59"/>
      <c r="D25" s="59"/>
      <c r="E25" s="59">
        <f t="shared" si="9"/>
        <v>0</v>
      </c>
      <c r="F25" s="122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15.75" customHeight="1">
      <c r="A26" s="155"/>
      <c r="B26" s="123" t="s">
        <v>68</v>
      </c>
      <c r="C26" s="71"/>
      <c r="D26" s="71">
        <v>4000000</v>
      </c>
      <c r="E26" s="71">
        <f t="shared" si="9"/>
        <v>-4000000</v>
      </c>
      <c r="F26" s="61" t="s">
        <v>117</v>
      </c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15.75" customHeight="1">
      <c r="A27" s="155"/>
      <c r="B27" s="123" t="s">
        <v>69</v>
      </c>
      <c r="C27" s="71">
        <f>P16</f>
        <v>2200000</v>
      </c>
      <c r="D27" s="71">
        <v>1000000</v>
      </c>
      <c r="E27" s="71">
        <f t="shared" si="9"/>
        <v>1200000</v>
      </c>
      <c r="F27" s="61" t="s">
        <v>117</v>
      </c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15.75" customHeight="1">
      <c r="A28" s="139"/>
      <c r="B28" s="123" t="s">
        <v>70</v>
      </c>
      <c r="C28" s="71"/>
      <c r="D28" s="71">
        <v>700000</v>
      </c>
      <c r="E28" s="71">
        <f t="shared" si="9"/>
        <v>-700000</v>
      </c>
      <c r="F28" s="61" t="s">
        <v>117</v>
      </c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15.75" customHeight="1">
      <c r="A29" s="124"/>
      <c r="B29" s="47" t="s">
        <v>71</v>
      </c>
      <c r="C29" s="47">
        <f t="shared" ref="C29:E29" si="10">SUM(C21:C28)</f>
        <v>46184000</v>
      </c>
      <c r="D29" s="47">
        <f t="shared" si="10"/>
        <v>29068360</v>
      </c>
      <c r="E29" s="47">
        <f t="shared" si="10"/>
        <v>17115640</v>
      </c>
      <c r="F29" s="125">
        <f>E29/C29</f>
        <v>0.37059674346093885</v>
      </c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15.75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15.75" customHeight="1" outlineLevel="1">
      <c r="A31" s="158" t="s">
        <v>72</v>
      </c>
      <c r="B31" s="147"/>
      <c r="C31" s="147"/>
      <c r="D31" s="147"/>
      <c r="E31" s="79">
        <v>250000000</v>
      </c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15.75" customHeight="1" outlineLevel="1">
      <c r="A32" s="98"/>
      <c r="B32" s="98"/>
      <c r="C32" s="98"/>
      <c r="D32" s="98"/>
      <c r="E32" s="125">
        <f>E29/E31</f>
        <v>6.8462560000000006E-2</v>
      </c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15.75" customHeight="1" outlineLevel="1">
      <c r="A33" s="158" t="s">
        <v>118</v>
      </c>
      <c r="B33" s="147"/>
      <c r="C33" s="147"/>
      <c r="D33" s="147"/>
      <c r="E33" s="126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15.75" customHeight="1" outlineLevel="1">
      <c r="A34" s="158" t="s">
        <v>119</v>
      </c>
      <c r="B34" s="147"/>
      <c r="C34" s="147"/>
      <c r="D34" s="147"/>
      <c r="E34" s="126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15.75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15.75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15.75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15.75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15.75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15.75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15.75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5.75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5.75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5.75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5.75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15.75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15.75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15.75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15.75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15.75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15.75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15.75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15.75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15.75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15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15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15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5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5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5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5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5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15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15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15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5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5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5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5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5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5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5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5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5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5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5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5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5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5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5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5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5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5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5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5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5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5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5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5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5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5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5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5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5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5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5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5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5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5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5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5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5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5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5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5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5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5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5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5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5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5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5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5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5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5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5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5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5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5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5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5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5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5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5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5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5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5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5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5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5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5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5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5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5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5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5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5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5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5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5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5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5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5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5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5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5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5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5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5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5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5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5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5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5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5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5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5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5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5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5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5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5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5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5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5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5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5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5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5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5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5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5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5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5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5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5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5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5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5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5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5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5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5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5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5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5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5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5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5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5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5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5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5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5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5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5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5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5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5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5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5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5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5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5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5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5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5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5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5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5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5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5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5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5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5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5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5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5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5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5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5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5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5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5.7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5.7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5.7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5.7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5.7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5.7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5.7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5.7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5.7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5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5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5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5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5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5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5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5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5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5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5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5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5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5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5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5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5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5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5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5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5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5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5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5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5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5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5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5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5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5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5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5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5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5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5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5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5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5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5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5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5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5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5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5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5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5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5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5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5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5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5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5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5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5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5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5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5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5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5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5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5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5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5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5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5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5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5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5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5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5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5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5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5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5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5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5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5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5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5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5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5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5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5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5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5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5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5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5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5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5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5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5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5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5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5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5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5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5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5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5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5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5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5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5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5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5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5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5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5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5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5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5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5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5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5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5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5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5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5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5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5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5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5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5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5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5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5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5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5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5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5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5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5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5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5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5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5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5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5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5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5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5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5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5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5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5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5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5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5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5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5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5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5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5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5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5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5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5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5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5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5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5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5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5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5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5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5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5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5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5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5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5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5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5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5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5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5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5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5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5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5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5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5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5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5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5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5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5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5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5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5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5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5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5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5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5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5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5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5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5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5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5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5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5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5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5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5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5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5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5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5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5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5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5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5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5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5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5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5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5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5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5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5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5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5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5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5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5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5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5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5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5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5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5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5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5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5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5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5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5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5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5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5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5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5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5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5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5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5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5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5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5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5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5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5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5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5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5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5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5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5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5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5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5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5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5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5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5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5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5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5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5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5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5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5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5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5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5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5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5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5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5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5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5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5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5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5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5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5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5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5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5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5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5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5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5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5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5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5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5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5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5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5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5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5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5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5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5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5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5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5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5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5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5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5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5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5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5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5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5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5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5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5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5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5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5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5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5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5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5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5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5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5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5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5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5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5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5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5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5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5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5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5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5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5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5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5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5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5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5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5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5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5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5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5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5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5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5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5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5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5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5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5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5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5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5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5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5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5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5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5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5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5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5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5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5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5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5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5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5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5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5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5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5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5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5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5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5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5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5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5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5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5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5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5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5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5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5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5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5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5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5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5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5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5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5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5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5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5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5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5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5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5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5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5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5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5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5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5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5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5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5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5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5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5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5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5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5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5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5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5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5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5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5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5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5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5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5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5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5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5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5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5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5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5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5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5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5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5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5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5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5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5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5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5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5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5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5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5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5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5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5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5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5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5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5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5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5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5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5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5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5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5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5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5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5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5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5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5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5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5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5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5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5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5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5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5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5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5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5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5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5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5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5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5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5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5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5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5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5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5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5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5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5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5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5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5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5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5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5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5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5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5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5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5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5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5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5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5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5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5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5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5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5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5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5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5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5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5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5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5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5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5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5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5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5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5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5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5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5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5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5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5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5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5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5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5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5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5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5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5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5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5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5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5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5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5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5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5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5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5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5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5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5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5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5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5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5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5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5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5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5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5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5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5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5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5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5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5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5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5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5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5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5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5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5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5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5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5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5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5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5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5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5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5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5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5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5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5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5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5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5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5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5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5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5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5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5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5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5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5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5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5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5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5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5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5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5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5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5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5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5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5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5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5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5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5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5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5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5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5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5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5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5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5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5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5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5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5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5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5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5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5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5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5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5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5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5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5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5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5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5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5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5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5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5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5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5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5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5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5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5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5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5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5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5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5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5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5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5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5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5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5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5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5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5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5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5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5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5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5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5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5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5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5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5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5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5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5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5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5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5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5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5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5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5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5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5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5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5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5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5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5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5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5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5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5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5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5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5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5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5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5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5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5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5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5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5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5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5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5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5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5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5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5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5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5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5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5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5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5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5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5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5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5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5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5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5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5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5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5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5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5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5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5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5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5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5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5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5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5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5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5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5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5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5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5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5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5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5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5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5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5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5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5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5.75" customHeight="1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5.75" customHeight="1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spans="1:26" ht="15.75" customHeight="1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mergeCells count="24">
    <mergeCell ref="A31:D31"/>
    <mergeCell ref="A33:D33"/>
    <mergeCell ref="A34:D34"/>
    <mergeCell ref="L3:M3"/>
    <mergeCell ref="N3:N4"/>
    <mergeCell ref="G3:G4"/>
    <mergeCell ref="H3:K3"/>
    <mergeCell ref="A18:E18"/>
    <mergeCell ref="A19:E19"/>
    <mergeCell ref="A20:A28"/>
    <mergeCell ref="T3:T4"/>
    <mergeCell ref="A1:U2"/>
    <mergeCell ref="A3:A4"/>
    <mergeCell ref="B3:B4"/>
    <mergeCell ref="C3:C4"/>
    <mergeCell ref="D3:D4"/>
    <mergeCell ref="E3:E4"/>
    <mergeCell ref="F3:F4"/>
    <mergeCell ref="U3:U4"/>
    <mergeCell ref="O3:O4"/>
    <mergeCell ref="P3:P4"/>
    <mergeCell ref="Q3:Q4"/>
    <mergeCell ref="R3:R4"/>
    <mergeCell ref="S3:S4"/>
  </mergeCell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/>
  </sheetViews>
  <sheetFormatPr defaultColWidth="12.59765625" defaultRowHeight="15" customHeight="1" outlineLevelRow="1"/>
  <cols>
    <col min="1" max="1" width="7.59765625" customWidth="1"/>
    <col min="2" max="2" width="18.8984375" customWidth="1"/>
    <col min="3" max="3" width="12.59765625" customWidth="1"/>
    <col min="4" max="4" width="17.59765625" customWidth="1"/>
    <col min="5" max="6" width="12.59765625" customWidth="1"/>
    <col min="7" max="9" width="7" customWidth="1"/>
    <col min="10" max="13" width="10.09765625" customWidth="1"/>
    <col min="14" max="14" width="7" customWidth="1"/>
    <col min="15" max="18" width="10.09765625" customWidth="1"/>
    <col min="19" max="19" width="12.59765625" customWidth="1"/>
    <col min="20" max="20" width="28.8984375" customWidth="1"/>
    <col min="21" max="26" width="7.59765625" customWidth="1"/>
  </cols>
  <sheetData>
    <row r="1" spans="1:26" ht="13.8">
      <c r="A1" s="140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2"/>
      <c r="U1" s="1"/>
      <c r="V1" s="1"/>
      <c r="W1" s="1"/>
      <c r="X1" s="1"/>
      <c r="Y1" s="1"/>
      <c r="Z1" s="1"/>
    </row>
    <row r="2" spans="1:26" ht="13.8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  <c r="U2" s="1"/>
      <c r="V2" s="1"/>
      <c r="W2" s="1"/>
      <c r="X2" s="1"/>
      <c r="Y2" s="1"/>
      <c r="Z2" s="1"/>
    </row>
    <row r="3" spans="1:26" ht="13.8">
      <c r="A3" s="138" t="s">
        <v>1</v>
      </c>
      <c r="B3" s="138" t="s">
        <v>2</v>
      </c>
      <c r="C3" s="138" t="s">
        <v>3</v>
      </c>
      <c r="D3" s="138" t="s">
        <v>4</v>
      </c>
      <c r="E3" s="138" t="s">
        <v>5</v>
      </c>
      <c r="F3" s="138" t="s">
        <v>6</v>
      </c>
      <c r="G3" s="138" t="s">
        <v>7</v>
      </c>
      <c r="H3" s="149" t="s">
        <v>8</v>
      </c>
      <c r="I3" s="151"/>
      <c r="J3" s="151"/>
      <c r="K3" s="150"/>
      <c r="L3" s="149" t="s">
        <v>9</v>
      </c>
      <c r="M3" s="150"/>
      <c r="N3" s="138" t="s">
        <v>10</v>
      </c>
      <c r="O3" s="138" t="s">
        <v>11</v>
      </c>
      <c r="P3" s="138" t="s">
        <v>12</v>
      </c>
      <c r="Q3" s="138" t="s">
        <v>13</v>
      </c>
      <c r="R3" s="138" t="s">
        <v>14</v>
      </c>
      <c r="S3" s="138" t="s">
        <v>15</v>
      </c>
      <c r="T3" s="138" t="s">
        <v>17</v>
      </c>
      <c r="U3" s="2"/>
      <c r="V3" s="2"/>
      <c r="W3" s="2"/>
      <c r="X3" s="2"/>
      <c r="Y3" s="2"/>
      <c r="Z3" s="2"/>
    </row>
    <row r="4" spans="1:26" ht="25.5" customHeight="1">
      <c r="A4" s="139"/>
      <c r="B4" s="139"/>
      <c r="C4" s="139"/>
      <c r="D4" s="139"/>
      <c r="E4" s="139"/>
      <c r="F4" s="139"/>
      <c r="G4" s="139"/>
      <c r="H4" s="3" t="s">
        <v>18</v>
      </c>
      <c r="I4" s="4" t="s">
        <v>19</v>
      </c>
      <c r="J4" s="3" t="s">
        <v>20</v>
      </c>
      <c r="K4" s="4" t="s">
        <v>21</v>
      </c>
      <c r="L4" s="3" t="s">
        <v>22</v>
      </c>
      <c r="M4" s="4" t="s">
        <v>21</v>
      </c>
      <c r="N4" s="139"/>
      <c r="O4" s="139"/>
      <c r="P4" s="139"/>
      <c r="Q4" s="139"/>
      <c r="R4" s="139"/>
      <c r="S4" s="139"/>
      <c r="T4" s="139"/>
      <c r="U4" s="2"/>
      <c r="V4" s="2"/>
      <c r="W4" s="2"/>
      <c r="X4" s="2"/>
      <c r="Y4" s="2"/>
      <c r="Z4" s="2"/>
    </row>
    <row r="5" spans="1:26" ht="13.8">
      <c r="A5" s="23" t="s">
        <v>23</v>
      </c>
      <c r="B5" s="101" t="s">
        <v>24</v>
      </c>
      <c r="C5" s="102" t="s">
        <v>92</v>
      </c>
      <c r="D5" s="103" t="s">
        <v>120</v>
      </c>
      <c r="E5" s="13">
        <v>3500000</v>
      </c>
      <c r="F5" s="13">
        <v>3500000</v>
      </c>
      <c r="G5" s="104">
        <v>2</v>
      </c>
      <c r="H5" s="13">
        <v>1406</v>
      </c>
      <c r="I5" s="13">
        <v>1528</v>
      </c>
      <c r="J5" s="13">
        <v>4000</v>
      </c>
      <c r="K5" s="13">
        <f t="shared" ref="K5:K15" si="0">(I5-H5)*J5</f>
        <v>488000</v>
      </c>
      <c r="L5" s="13">
        <v>100000</v>
      </c>
      <c r="M5" s="13">
        <f t="shared" ref="M5:M12" si="1">L5*G5</f>
        <v>200000</v>
      </c>
      <c r="N5" s="14">
        <v>0</v>
      </c>
      <c r="O5" s="14">
        <v>0</v>
      </c>
      <c r="P5" s="13">
        <v>50000</v>
      </c>
      <c r="Q5" s="13">
        <f>F5+K5+M5+O5+P5</f>
        <v>4238000</v>
      </c>
      <c r="R5" s="15"/>
      <c r="S5" s="101">
        <f t="shared" ref="S5:S15" si="2">Q5-R5</f>
        <v>4238000</v>
      </c>
      <c r="T5" s="127" t="s">
        <v>121</v>
      </c>
      <c r="U5" s="1"/>
      <c r="V5" s="1"/>
      <c r="W5" s="1"/>
      <c r="X5" s="1"/>
      <c r="Y5" s="1"/>
      <c r="Z5" s="1"/>
    </row>
    <row r="6" spans="1:26" ht="13.8">
      <c r="A6" s="23" t="s">
        <v>27</v>
      </c>
      <c r="B6" s="101" t="s">
        <v>28</v>
      </c>
      <c r="C6" s="108" t="s">
        <v>94</v>
      </c>
      <c r="D6" s="109" t="s">
        <v>29</v>
      </c>
      <c r="E6" s="23">
        <v>4000000</v>
      </c>
      <c r="F6" s="23">
        <v>3500000</v>
      </c>
      <c r="G6" s="110">
        <v>2</v>
      </c>
      <c r="H6" s="13">
        <v>2284</v>
      </c>
      <c r="I6" s="13">
        <v>2413</v>
      </c>
      <c r="J6" s="23">
        <v>4000</v>
      </c>
      <c r="K6" s="102">
        <f t="shared" si="0"/>
        <v>516000</v>
      </c>
      <c r="L6" s="13">
        <v>100000</v>
      </c>
      <c r="M6" s="13">
        <f t="shared" si="1"/>
        <v>200000</v>
      </c>
      <c r="N6" s="14">
        <v>0</v>
      </c>
      <c r="O6" s="14">
        <v>0</v>
      </c>
      <c r="P6" s="23">
        <v>200000</v>
      </c>
      <c r="Q6" s="13">
        <f t="shared" ref="Q6:Q7" si="3">F6+K6+M6+P6+O6</f>
        <v>4416000</v>
      </c>
      <c r="R6" s="23"/>
      <c r="S6" s="101">
        <f t="shared" si="2"/>
        <v>4416000</v>
      </c>
      <c r="T6" s="128" t="s">
        <v>122</v>
      </c>
      <c r="U6" s="1"/>
      <c r="V6" s="1"/>
      <c r="W6" s="1"/>
      <c r="X6" s="1"/>
      <c r="Y6" s="1"/>
      <c r="Z6" s="1"/>
    </row>
    <row r="7" spans="1:26" ht="13.8">
      <c r="A7" s="23" t="s">
        <v>31</v>
      </c>
      <c r="B7" s="101" t="s">
        <v>32</v>
      </c>
      <c r="C7" s="102" t="s">
        <v>96</v>
      </c>
      <c r="D7" s="109" t="s">
        <v>25</v>
      </c>
      <c r="E7" s="106">
        <v>3800000</v>
      </c>
      <c r="F7" s="106">
        <v>3600000</v>
      </c>
      <c r="G7" s="110">
        <v>3</v>
      </c>
      <c r="H7" s="13">
        <v>1834</v>
      </c>
      <c r="I7" s="13">
        <v>1889</v>
      </c>
      <c r="J7" s="106">
        <v>4000</v>
      </c>
      <c r="K7" s="102">
        <f t="shared" si="0"/>
        <v>220000</v>
      </c>
      <c r="L7" s="13">
        <v>100000</v>
      </c>
      <c r="M7" s="13">
        <f t="shared" si="1"/>
        <v>300000</v>
      </c>
      <c r="N7" s="14">
        <v>0</v>
      </c>
      <c r="O7" s="14">
        <v>0</v>
      </c>
      <c r="P7" s="106">
        <v>250000</v>
      </c>
      <c r="Q7" s="13">
        <f t="shared" si="3"/>
        <v>4370000</v>
      </c>
      <c r="R7" s="23"/>
      <c r="S7" s="101">
        <f t="shared" si="2"/>
        <v>4370000</v>
      </c>
      <c r="T7" s="128" t="s">
        <v>123</v>
      </c>
      <c r="U7" s="1"/>
      <c r="V7" s="1"/>
      <c r="W7" s="1"/>
      <c r="X7" s="1"/>
      <c r="Y7" s="1"/>
      <c r="Z7" s="1"/>
    </row>
    <row r="8" spans="1:26" ht="13.8">
      <c r="A8" s="23" t="s">
        <v>34</v>
      </c>
      <c r="B8" s="101" t="s">
        <v>35</v>
      </c>
      <c r="C8" s="100" t="s">
        <v>98</v>
      </c>
      <c r="D8" s="109" t="s">
        <v>36</v>
      </c>
      <c r="E8" s="106">
        <v>3800000</v>
      </c>
      <c r="F8" s="106">
        <v>3300000</v>
      </c>
      <c r="G8" s="110">
        <v>3</v>
      </c>
      <c r="H8" s="13">
        <v>1031</v>
      </c>
      <c r="I8" s="13">
        <v>1121</v>
      </c>
      <c r="J8" s="106">
        <v>4000</v>
      </c>
      <c r="K8" s="102">
        <f t="shared" si="0"/>
        <v>360000</v>
      </c>
      <c r="L8" s="13">
        <v>100000</v>
      </c>
      <c r="M8" s="13">
        <f t="shared" si="1"/>
        <v>300000</v>
      </c>
      <c r="N8" s="14">
        <v>0</v>
      </c>
      <c r="O8" s="14">
        <v>0</v>
      </c>
      <c r="P8" s="106">
        <v>250000</v>
      </c>
      <c r="Q8" s="13">
        <f>F8+K8+M8+O8+P8</f>
        <v>4210000</v>
      </c>
      <c r="R8" s="23"/>
      <c r="S8" s="101">
        <f t="shared" si="2"/>
        <v>4210000</v>
      </c>
      <c r="T8" s="128" t="s">
        <v>124</v>
      </c>
      <c r="U8" s="1"/>
      <c r="V8" s="1"/>
      <c r="W8" s="1"/>
      <c r="X8" s="1"/>
      <c r="Y8" s="1"/>
      <c r="Z8" s="1"/>
    </row>
    <row r="9" spans="1:26" ht="13.8">
      <c r="A9" s="23" t="s">
        <v>38</v>
      </c>
      <c r="B9" s="101" t="s">
        <v>39</v>
      </c>
      <c r="C9" s="100" t="s">
        <v>99</v>
      </c>
      <c r="D9" s="109" t="s">
        <v>40</v>
      </c>
      <c r="E9" s="106">
        <v>3800000</v>
      </c>
      <c r="F9" s="106">
        <v>3300000</v>
      </c>
      <c r="G9" s="110">
        <v>2</v>
      </c>
      <c r="H9" s="13">
        <v>1959</v>
      </c>
      <c r="I9" s="13">
        <v>2274</v>
      </c>
      <c r="J9" s="106">
        <v>4000</v>
      </c>
      <c r="K9" s="102">
        <f t="shared" si="0"/>
        <v>1260000</v>
      </c>
      <c r="L9" s="13">
        <v>100000</v>
      </c>
      <c r="M9" s="13">
        <f t="shared" si="1"/>
        <v>200000</v>
      </c>
      <c r="N9" s="14">
        <v>0</v>
      </c>
      <c r="O9" s="14">
        <v>0</v>
      </c>
      <c r="P9" s="106">
        <v>200000</v>
      </c>
      <c r="Q9" s="13">
        <f t="shared" ref="Q9:Q10" si="4">F9+K9+M9+P9+O9</f>
        <v>4960000</v>
      </c>
      <c r="R9" s="23"/>
      <c r="S9" s="101">
        <f t="shared" si="2"/>
        <v>4960000</v>
      </c>
      <c r="T9" s="127" t="s">
        <v>121</v>
      </c>
      <c r="U9" s="1"/>
      <c r="V9" s="1"/>
      <c r="W9" s="1"/>
      <c r="X9" s="1"/>
      <c r="Y9" s="1"/>
      <c r="Z9" s="1"/>
    </row>
    <row r="10" spans="1:26" ht="13.8">
      <c r="A10" s="23">
        <v>101</v>
      </c>
      <c r="B10" s="101" t="s">
        <v>42</v>
      </c>
      <c r="C10" s="100" t="s">
        <v>101</v>
      </c>
      <c r="D10" s="109" t="s">
        <v>36</v>
      </c>
      <c r="E10" s="106">
        <v>3200000</v>
      </c>
      <c r="F10" s="106">
        <v>2600000</v>
      </c>
      <c r="G10" s="110">
        <v>1</v>
      </c>
      <c r="H10" s="13">
        <v>3193</v>
      </c>
      <c r="I10" s="13">
        <v>3490</v>
      </c>
      <c r="J10" s="106">
        <v>4000</v>
      </c>
      <c r="K10" s="102">
        <f t="shared" si="0"/>
        <v>1188000</v>
      </c>
      <c r="L10" s="13">
        <v>100000</v>
      </c>
      <c r="M10" s="13">
        <f t="shared" si="1"/>
        <v>100000</v>
      </c>
      <c r="N10" s="14">
        <v>0</v>
      </c>
      <c r="O10" s="14">
        <v>0</v>
      </c>
      <c r="P10" s="106">
        <v>200000</v>
      </c>
      <c r="Q10" s="13">
        <f t="shared" si="4"/>
        <v>4088000</v>
      </c>
      <c r="R10" s="23"/>
      <c r="S10" s="101">
        <f t="shared" si="2"/>
        <v>4088000</v>
      </c>
      <c r="T10" s="128" t="s">
        <v>125</v>
      </c>
      <c r="U10" s="1"/>
      <c r="V10" s="1"/>
      <c r="W10" s="1"/>
      <c r="X10" s="1"/>
      <c r="Y10" s="1"/>
      <c r="Z10" s="1"/>
    </row>
    <row r="11" spans="1:26" ht="13.8">
      <c r="A11" s="23">
        <v>102</v>
      </c>
      <c r="B11" s="101" t="s">
        <v>44</v>
      </c>
      <c r="C11" s="100" t="s">
        <v>103</v>
      </c>
      <c r="D11" s="109" t="s">
        <v>120</v>
      </c>
      <c r="E11" s="106">
        <v>3200000</v>
      </c>
      <c r="F11" s="106">
        <v>3000000</v>
      </c>
      <c r="G11" s="110">
        <v>2</v>
      </c>
      <c r="H11" s="13">
        <v>1087</v>
      </c>
      <c r="I11" s="13">
        <v>1175</v>
      </c>
      <c r="J11" s="106">
        <v>4000</v>
      </c>
      <c r="K11" s="102">
        <f t="shared" si="0"/>
        <v>352000</v>
      </c>
      <c r="L11" s="13">
        <v>100000</v>
      </c>
      <c r="M11" s="13">
        <f t="shared" si="1"/>
        <v>200000</v>
      </c>
      <c r="N11" s="14">
        <v>0</v>
      </c>
      <c r="O11" s="14">
        <v>0</v>
      </c>
      <c r="P11" s="106">
        <v>200000</v>
      </c>
      <c r="Q11" s="13">
        <f>F11+K11+M11+O11+P11</f>
        <v>3752000</v>
      </c>
      <c r="R11" s="23"/>
      <c r="S11" s="101">
        <f t="shared" si="2"/>
        <v>3752000</v>
      </c>
      <c r="T11" s="127" t="s">
        <v>121</v>
      </c>
      <c r="U11" s="1"/>
      <c r="V11" s="1"/>
      <c r="W11" s="1"/>
      <c r="X11" s="1"/>
      <c r="Y11" s="1"/>
      <c r="Z11" s="1"/>
    </row>
    <row r="12" spans="1:26" ht="13.8">
      <c r="A12" s="23">
        <v>103</v>
      </c>
      <c r="B12" s="106" t="s">
        <v>46</v>
      </c>
      <c r="C12" s="100" t="s">
        <v>105</v>
      </c>
      <c r="D12" s="109" t="s">
        <v>25</v>
      </c>
      <c r="E12" s="106">
        <v>4500000</v>
      </c>
      <c r="F12" s="106">
        <v>4000000</v>
      </c>
      <c r="G12" s="110">
        <v>3</v>
      </c>
      <c r="H12" s="13">
        <v>1227</v>
      </c>
      <c r="I12" s="13">
        <v>1313</v>
      </c>
      <c r="J12" s="106">
        <v>4000</v>
      </c>
      <c r="K12" s="102">
        <f t="shared" si="0"/>
        <v>344000</v>
      </c>
      <c r="L12" s="13">
        <v>100000</v>
      </c>
      <c r="M12" s="13">
        <f t="shared" si="1"/>
        <v>300000</v>
      </c>
      <c r="N12" s="14">
        <v>0</v>
      </c>
      <c r="O12" s="14">
        <v>0</v>
      </c>
      <c r="P12" s="106">
        <v>250000</v>
      </c>
      <c r="Q12" s="13">
        <f>F12+K12+M12+P12</f>
        <v>4894000</v>
      </c>
      <c r="R12" s="23"/>
      <c r="S12" s="101">
        <f t="shared" si="2"/>
        <v>4894000</v>
      </c>
      <c r="T12" s="128" t="s">
        <v>126</v>
      </c>
      <c r="U12" s="1"/>
      <c r="V12" s="1"/>
      <c r="W12" s="1"/>
      <c r="X12" s="1"/>
      <c r="Y12" s="1"/>
      <c r="Z12" s="1"/>
    </row>
    <row r="13" spans="1:26" ht="13.8">
      <c r="A13" s="23">
        <v>104</v>
      </c>
      <c r="B13" s="106" t="s">
        <v>47</v>
      </c>
      <c r="C13" s="100" t="s">
        <v>106</v>
      </c>
      <c r="D13" s="109" t="s">
        <v>120</v>
      </c>
      <c r="E13" s="106">
        <v>3000000</v>
      </c>
      <c r="F13" s="106">
        <v>3000000</v>
      </c>
      <c r="G13" s="110">
        <v>1</v>
      </c>
      <c r="H13" s="13">
        <v>1358</v>
      </c>
      <c r="I13" s="13">
        <v>1472</v>
      </c>
      <c r="J13" s="106">
        <v>4000</v>
      </c>
      <c r="K13" s="102">
        <f t="shared" si="0"/>
        <v>456000</v>
      </c>
      <c r="L13" s="13">
        <v>100000</v>
      </c>
      <c r="M13" s="13">
        <f t="shared" ref="M13:M14" si="5">G13*L13</f>
        <v>100000</v>
      </c>
      <c r="N13" s="14">
        <v>0</v>
      </c>
      <c r="O13" s="14">
        <v>0</v>
      </c>
      <c r="P13" s="106">
        <v>200000</v>
      </c>
      <c r="Q13" s="13">
        <f>K13+M13+O13+P13+F13</f>
        <v>3756000</v>
      </c>
      <c r="R13" s="23"/>
      <c r="S13" s="101">
        <f t="shared" si="2"/>
        <v>3756000</v>
      </c>
      <c r="T13" s="128" t="s">
        <v>126</v>
      </c>
      <c r="U13" s="1"/>
      <c r="V13" s="1"/>
      <c r="W13" s="1"/>
      <c r="X13" s="1"/>
      <c r="Y13" s="1"/>
      <c r="Z13" s="1"/>
    </row>
    <row r="14" spans="1:26" ht="13.8">
      <c r="A14" s="23">
        <v>105</v>
      </c>
      <c r="B14" s="106" t="s">
        <v>127</v>
      </c>
      <c r="C14" s="100" t="s">
        <v>128</v>
      </c>
      <c r="D14" s="109" t="s">
        <v>120</v>
      </c>
      <c r="E14" s="106">
        <v>2800000</v>
      </c>
      <c r="F14" s="106">
        <v>3000000</v>
      </c>
      <c r="G14" s="110">
        <v>2</v>
      </c>
      <c r="H14" s="13">
        <v>477</v>
      </c>
      <c r="I14" s="13">
        <v>501</v>
      </c>
      <c r="J14" s="106">
        <v>4000</v>
      </c>
      <c r="K14" s="102">
        <f t="shared" si="0"/>
        <v>96000</v>
      </c>
      <c r="L14" s="13">
        <v>100000</v>
      </c>
      <c r="M14" s="13">
        <f t="shared" si="5"/>
        <v>200000</v>
      </c>
      <c r="N14" s="14">
        <v>0</v>
      </c>
      <c r="O14" s="14">
        <v>0</v>
      </c>
      <c r="P14" s="106">
        <v>200000</v>
      </c>
      <c r="Q14" s="13">
        <f t="shared" ref="Q14:Q15" si="6">F14+K14+M14+P14</f>
        <v>3496000</v>
      </c>
      <c r="R14" s="23"/>
      <c r="S14" s="101">
        <f t="shared" si="2"/>
        <v>3496000</v>
      </c>
      <c r="T14" s="127" t="s">
        <v>121</v>
      </c>
      <c r="U14" s="1"/>
      <c r="V14" s="1"/>
      <c r="W14" s="1"/>
      <c r="X14" s="1"/>
      <c r="Y14" s="1"/>
      <c r="Z14" s="1"/>
    </row>
    <row r="15" spans="1:26" ht="13.8">
      <c r="A15" s="23">
        <v>106</v>
      </c>
      <c r="B15" s="106" t="s">
        <v>52</v>
      </c>
      <c r="C15" s="100" t="s">
        <v>109</v>
      </c>
      <c r="D15" s="109" t="s">
        <v>36</v>
      </c>
      <c r="E15" s="106">
        <v>3500000</v>
      </c>
      <c r="F15" s="106">
        <v>3000000</v>
      </c>
      <c r="G15" s="110">
        <v>1</v>
      </c>
      <c r="H15" s="23">
        <v>1458</v>
      </c>
      <c r="I15" s="23">
        <v>1564</v>
      </c>
      <c r="J15" s="106">
        <v>4000</v>
      </c>
      <c r="K15" s="23">
        <f t="shared" si="0"/>
        <v>424000</v>
      </c>
      <c r="L15" s="23">
        <v>100000</v>
      </c>
      <c r="M15" s="106">
        <f>L15*G15</f>
        <v>100000</v>
      </c>
      <c r="N15" s="14">
        <v>0</v>
      </c>
      <c r="O15" s="14">
        <v>0</v>
      </c>
      <c r="P15" s="106">
        <v>200000</v>
      </c>
      <c r="Q15" s="23">
        <f t="shared" si="6"/>
        <v>3724000</v>
      </c>
      <c r="R15" s="23"/>
      <c r="S15" s="101">
        <f t="shared" si="2"/>
        <v>3724000</v>
      </c>
      <c r="T15" s="128" t="s">
        <v>129</v>
      </c>
      <c r="U15" s="1"/>
      <c r="V15" s="1"/>
      <c r="W15" s="1"/>
      <c r="X15" s="1"/>
      <c r="Y15" s="1"/>
      <c r="Z15" s="1"/>
    </row>
    <row r="16" spans="1:26" ht="13.8">
      <c r="A16" s="47"/>
      <c r="B16" s="48" t="s">
        <v>111</v>
      </c>
      <c r="C16" s="48"/>
      <c r="D16" s="49"/>
      <c r="E16" s="50">
        <f t="shared" ref="E16:G16" si="7">SUM(E5:E15)</f>
        <v>39100000</v>
      </c>
      <c r="F16" s="50">
        <f t="shared" si="7"/>
        <v>35800000</v>
      </c>
      <c r="G16" s="51">
        <f t="shared" si="7"/>
        <v>22</v>
      </c>
      <c r="H16" s="50"/>
      <c r="I16" s="50"/>
      <c r="J16" s="50"/>
      <c r="K16" s="50">
        <f>SUM(K5:K15)</f>
        <v>5704000</v>
      </c>
      <c r="L16" s="50"/>
      <c r="M16" s="50">
        <f t="shared" ref="M16:Q16" si="8">SUM(M5:M15)</f>
        <v>2200000</v>
      </c>
      <c r="N16" s="47">
        <f t="shared" si="8"/>
        <v>0</v>
      </c>
      <c r="O16" s="47">
        <f t="shared" si="8"/>
        <v>0</v>
      </c>
      <c r="P16" s="50">
        <f t="shared" si="8"/>
        <v>2200000</v>
      </c>
      <c r="Q16" s="50">
        <f t="shared" si="8"/>
        <v>45904000</v>
      </c>
      <c r="R16" s="50">
        <f>SUM(R5:R12)</f>
        <v>0</v>
      </c>
      <c r="S16" s="47">
        <f>SUM(S5:S15)</f>
        <v>45904000</v>
      </c>
      <c r="T16" s="52"/>
      <c r="U16" s="53"/>
      <c r="V16" s="53"/>
      <c r="W16" s="53"/>
      <c r="X16" s="53"/>
      <c r="Y16" s="53"/>
      <c r="Z16" s="53"/>
    </row>
    <row r="17" spans="1:26" ht="13.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54"/>
      <c r="U17" s="1"/>
      <c r="V17" s="1"/>
      <c r="W17" s="1"/>
      <c r="X17" s="1"/>
      <c r="Y17" s="1"/>
      <c r="Z17" s="1"/>
    </row>
    <row r="18" spans="1:26" ht="15" customHeight="1">
      <c r="A18" s="152" t="s">
        <v>54</v>
      </c>
      <c r="B18" s="141"/>
      <c r="C18" s="141"/>
      <c r="D18" s="141"/>
      <c r="E18" s="142"/>
      <c r="F18" s="5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43"/>
      <c r="B19" s="144"/>
      <c r="C19" s="144"/>
      <c r="D19" s="144"/>
      <c r="E19" s="145"/>
      <c r="F19" s="5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54" t="s">
        <v>55</v>
      </c>
      <c r="B20" s="57" t="s">
        <v>56</v>
      </c>
      <c r="C20" s="57" t="s">
        <v>57</v>
      </c>
      <c r="D20" s="57" t="s">
        <v>58</v>
      </c>
      <c r="E20" s="57" t="s">
        <v>59</v>
      </c>
      <c r="F20" s="5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55"/>
      <c r="B21" s="58" t="s">
        <v>130</v>
      </c>
      <c r="C21" s="129">
        <f>F16</f>
        <v>35800000</v>
      </c>
      <c r="D21" s="129">
        <v>15000000</v>
      </c>
      <c r="E21" s="129">
        <f t="shared" ref="E21:E29" si="9">C21-D21</f>
        <v>20800000</v>
      </c>
      <c r="F21" s="130" t="s">
        <v>131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55"/>
      <c r="B22" s="58" t="s">
        <v>132</v>
      </c>
      <c r="C22" s="129">
        <f>K16</f>
        <v>5704000</v>
      </c>
      <c r="D22" s="131">
        <v>6045000</v>
      </c>
      <c r="E22" s="129">
        <f t="shared" si="9"/>
        <v>-341000</v>
      </c>
      <c r="F22" s="130" t="s">
        <v>133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55"/>
      <c r="B23" s="58" t="s">
        <v>64</v>
      </c>
      <c r="C23" s="129">
        <f>M16</f>
        <v>2200000</v>
      </c>
      <c r="D23" s="132">
        <v>3268000</v>
      </c>
      <c r="E23" s="129">
        <f t="shared" si="9"/>
        <v>-1068000</v>
      </c>
      <c r="F23" s="130" t="s">
        <v>134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55"/>
      <c r="B24" s="58" t="s">
        <v>135</v>
      </c>
      <c r="C24" s="133">
        <v>0</v>
      </c>
      <c r="D24" s="133">
        <v>300000</v>
      </c>
      <c r="E24" s="129">
        <f t="shared" si="9"/>
        <v>-300000</v>
      </c>
      <c r="F24" s="134" t="s">
        <v>136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55"/>
      <c r="B25" s="58" t="s">
        <v>67</v>
      </c>
      <c r="C25" s="135">
        <v>0</v>
      </c>
      <c r="D25" s="132">
        <v>0</v>
      </c>
      <c r="E25" s="129">
        <f t="shared" si="9"/>
        <v>0</v>
      </c>
      <c r="F25" s="5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55"/>
      <c r="B26" s="136" t="s">
        <v>68</v>
      </c>
      <c r="C26" s="135">
        <v>0</v>
      </c>
      <c r="D26" s="132">
        <v>4000000</v>
      </c>
      <c r="E26" s="129">
        <f t="shared" si="9"/>
        <v>-4000000</v>
      </c>
      <c r="F26" s="72" t="s">
        <v>117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55"/>
      <c r="B27" s="136" t="s">
        <v>69</v>
      </c>
      <c r="C27" s="129">
        <f>P16</f>
        <v>2200000</v>
      </c>
      <c r="D27" s="132">
        <v>1000000</v>
      </c>
      <c r="E27" s="129">
        <f t="shared" si="9"/>
        <v>1200000</v>
      </c>
      <c r="F27" s="72" t="s">
        <v>117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39"/>
      <c r="B28" s="136" t="s">
        <v>70</v>
      </c>
      <c r="C28" s="129">
        <f>O16</f>
        <v>0</v>
      </c>
      <c r="D28" s="132">
        <v>700000</v>
      </c>
      <c r="E28" s="129">
        <f t="shared" si="9"/>
        <v>-700000</v>
      </c>
      <c r="F28" s="72" t="s">
        <v>117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73"/>
      <c r="B29" s="47" t="s">
        <v>71</v>
      </c>
      <c r="C29" s="74">
        <f t="shared" ref="C29:D29" si="10">SUM(C21:C28)</f>
        <v>45904000</v>
      </c>
      <c r="D29" s="74">
        <f t="shared" si="10"/>
        <v>30313000</v>
      </c>
      <c r="E29" s="74">
        <f t="shared" si="9"/>
        <v>15591000</v>
      </c>
      <c r="F29" s="5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76"/>
      <c r="B30" s="76"/>
      <c r="C30" s="76"/>
      <c r="D30" s="76"/>
      <c r="E30" s="77"/>
      <c r="F30" s="7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outlineLevel="1">
      <c r="A31" s="146" t="s">
        <v>72</v>
      </c>
      <c r="B31" s="147"/>
      <c r="C31" s="147"/>
      <c r="D31" s="147"/>
      <c r="E31" s="79">
        <v>250000000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outlineLevel="1">
      <c r="A32" s="1"/>
      <c r="B32" s="1"/>
      <c r="C32" s="1"/>
      <c r="D32" s="1"/>
      <c r="E32" s="80">
        <f>E29/E31</f>
        <v>6.2364000000000003E-2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0">
    <mergeCell ref="H3:K3"/>
    <mergeCell ref="A18:E19"/>
    <mergeCell ref="A20:A28"/>
    <mergeCell ref="A31:D31"/>
    <mergeCell ref="R3:R4"/>
    <mergeCell ref="S3:S4"/>
    <mergeCell ref="T3:T4"/>
    <mergeCell ref="A1:T2"/>
    <mergeCell ref="A3:A4"/>
    <mergeCell ref="B3:B4"/>
    <mergeCell ref="C3:C4"/>
    <mergeCell ref="D3:D4"/>
    <mergeCell ref="E3:E4"/>
    <mergeCell ref="F3:F4"/>
    <mergeCell ref="L3:M3"/>
    <mergeCell ref="N3:N4"/>
    <mergeCell ref="O3:O4"/>
    <mergeCell ref="P3:P4"/>
    <mergeCell ref="Q3:Q4"/>
    <mergeCell ref="G3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N2025.T12</vt:lpstr>
      <vt:lpstr> N2025.T11</vt:lpstr>
      <vt:lpstr>N2025.T10</vt:lpstr>
      <vt:lpstr>N2025.T09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</cp:lastModifiedBy>
  <dcterms:modified xsi:type="dcterms:W3CDTF">2025-12-15T02:39:29Z</dcterms:modified>
</cp:coreProperties>
</file>